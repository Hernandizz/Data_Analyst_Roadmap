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cuments\Project\Data-Analyst\Exam\Excel\assessment_project\"/>
    </mc:Choice>
  </mc:AlternateContent>
  <xr:revisionPtr revIDLastSave="0" documentId="13_ncr:1_{909663E9-9137-4A1C-A8B2-EBFE276523F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Instructions &amp; Info" sheetId="1" r:id="rId1"/>
    <sheet name="Master_Product" sheetId="2" r:id="rId2"/>
    <sheet name="Master_Tier_Discount" sheetId="3" r:id="rId3"/>
    <sheet name="Raw_Transactions" sheetId="4" r:id="rId4"/>
    <sheet name="KPI_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2" i="4"/>
  <c r="B8" i="5"/>
  <c r="B7" i="5"/>
  <c r="S16" i="4"/>
  <c r="R16" i="4"/>
  <c r="Q16" i="4"/>
  <c r="K16" i="4"/>
  <c r="O16" i="4" s="1"/>
  <c r="T16" i="4" s="1"/>
  <c r="J16" i="4"/>
  <c r="I16" i="4"/>
  <c r="R15" i="4"/>
  <c r="Q15" i="4"/>
  <c r="S15" i="4" s="1"/>
  <c r="N15" i="4"/>
  <c r="P15" i="4" s="1"/>
  <c r="M15" i="4"/>
  <c r="K15" i="4"/>
  <c r="O15" i="4" s="1"/>
  <c r="T15" i="4" s="1"/>
  <c r="J15" i="4"/>
  <c r="I15" i="4"/>
  <c r="S14" i="4"/>
  <c r="Q14" i="4"/>
  <c r="K14" i="4"/>
  <c r="N14" i="4" s="1"/>
  <c r="P14" i="4" s="1"/>
  <c r="R14" i="4" s="1"/>
  <c r="J14" i="4"/>
  <c r="I14" i="4"/>
  <c r="R13" i="4"/>
  <c r="Q13" i="4"/>
  <c r="S13" i="4" s="1"/>
  <c r="N13" i="4"/>
  <c r="P13" i="4" s="1"/>
  <c r="M13" i="4"/>
  <c r="K13" i="4"/>
  <c r="O13" i="4" s="1"/>
  <c r="T13" i="4" s="1"/>
  <c r="J13" i="4"/>
  <c r="I13" i="4"/>
  <c r="S12" i="4"/>
  <c r="R12" i="4"/>
  <c r="Q12" i="4"/>
  <c r="K12" i="4"/>
  <c r="O12" i="4" s="1"/>
  <c r="T12" i="4" s="1"/>
  <c r="J12" i="4"/>
  <c r="I12" i="4"/>
  <c r="Q11" i="4"/>
  <c r="S11" i="4" s="1"/>
  <c r="N11" i="4"/>
  <c r="P11" i="4" s="1"/>
  <c r="R11" i="4" s="1"/>
  <c r="M11" i="4"/>
  <c r="K11" i="4"/>
  <c r="O11" i="4" s="1"/>
  <c r="T11" i="4" s="1"/>
  <c r="J11" i="4"/>
  <c r="I11" i="4"/>
  <c r="S10" i="4"/>
  <c r="R10" i="4"/>
  <c r="Q10" i="4"/>
  <c r="K10" i="4"/>
  <c r="O10" i="4" s="1"/>
  <c r="T10" i="4" s="1"/>
  <c r="J10" i="4"/>
  <c r="I10" i="4"/>
  <c r="Q9" i="4"/>
  <c r="S9" i="4" s="1"/>
  <c r="N9" i="4"/>
  <c r="P9" i="4" s="1"/>
  <c r="R9" i="4" s="1"/>
  <c r="M9" i="4"/>
  <c r="K9" i="4"/>
  <c r="O9" i="4" s="1"/>
  <c r="T9" i="4" s="1"/>
  <c r="J9" i="4"/>
  <c r="I9" i="4"/>
  <c r="S8" i="4"/>
  <c r="R8" i="4"/>
  <c r="Q8" i="4"/>
  <c r="K8" i="4"/>
  <c r="O8" i="4" s="1"/>
  <c r="T8" i="4" s="1"/>
  <c r="J8" i="4"/>
  <c r="I8" i="4"/>
  <c r="R7" i="4"/>
  <c r="Q7" i="4"/>
  <c r="S7" i="4" s="1"/>
  <c r="N7" i="4"/>
  <c r="P7" i="4" s="1"/>
  <c r="M7" i="4"/>
  <c r="K7" i="4"/>
  <c r="O7" i="4" s="1"/>
  <c r="T7" i="4" s="1"/>
  <c r="J7" i="4"/>
  <c r="I7" i="4"/>
  <c r="S6" i="4"/>
  <c r="Q6" i="4"/>
  <c r="K6" i="4"/>
  <c r="N6" i="4" s="1"/>
  <c r="P6" i="4" s="1"/>
  <c r="R6" i="4" s="1"/>
  <c r="J6" i="4"/>
  <c r="I6" i="4"/>
  <c r="R5" i="4"/>
  <c r="Q5" i="4"/>
  <c r="S5" i="4" s="1"/>
  <c r="N5" i="4"/>
  <c r="P5" i="4" s="1"/>
  <c r="M5" i="4"/>
  <c r="K5" i="4"/>
  <c r="O5" i="4" s="1"/>
  <c r="T5" i="4" s="1"/>
  <c r="J5" i="4"/>
  <c r="I5" i="4"/>
  <c r="S4" i="4"/>
  <c r="R4" i="4"/>
  <c r="Q4" i="4"/>
  <c r="K4" i="4"/>
  <c r="N4" i="4" s="1"/>
  <c r="P4" i="4" s="1"/>
  <c r="J4" i="4"/>
  <c r="I4" i="4"/>
  <c r="Q3" i="4"/>
  <c r="S3" i="4" s="1"/>
  <c r="N3" i="4"/>
  <c r="P3" i="4" s="1"/>
  <c r="R3" i="4" s="1"/>
  <c r="M3" i="4"/>
  <c r="K3" i="4"/>
  <c r="O3" i="4" s="1"/>
  <c r="T3" i="4" s="1"/>
  <c r="J3" i="4"/>
  <c r="I3" i="4"/>
  <c r="S2" i="4"/>
  <c r="R2" i="4"/>
  <c r="Q2" i="4"/>
  <c r="B13" i="5" s="1"/>
  <c r="K2" i="4"/>
  <c r="O2" i="4" s="1"/>
  <c r="T2" i="4" s="1"/>
  <c r="J2" i="4"/>
  <c r="I2" i="4"/>
  <c r="V8" i="4" l="1"/>
  <c r="U8" i="4"/>
  <c r="U12" i="4"/>
  <c r="V12" i="4" s="1"/>
  <c r="B11" i="5"/>
  <c r="U2" i="4"/>
  <c r="U11" i="4"/>
  <c r="V11" i="4" s="1"/>
  <c r="U15" i="4"/>
  <c r="V15" i="4" s="1"/>
  <c r="U16" i="4"/>
  <c r="V16" i="4" s="1"/>
  <c r="U3" i="4"/>
  <c r="V3" i="4" s="1"/>
  <c r="U7" i="4"/>
  <c r="V7" i="4" s="1"/>
  <c r="U5" i="4"/>
  <c r="V5" i="4" s="1"/>
  <c r="U10" i="4"/>
  <c r="V10" i="4" s="1"/>
  <c r="U9" i="4"/>
  <c r="V9" i="4" s="1"/>
  <c r="U13" i="4"/>
  <c r="V13" i="4"/>
  <c r="O4" i="4"/>
  <c r="T4" i="4" s="1"/>
  <c r="B12" i="5" s="1"/>
  <c r="M2" i="4"/>
  <c r="M4" i="4"/>
  <c r="M6" i="4"/>
  <c r="M8" i="4"/>
  <c r="M10" i="4"/>
  <c r="M12" i="4"/>
  <c r="M14" i="4"/>
  <c r="M16" i="4"/>
  <c r="O6" i="4"/>
  <c r="T6" i="4" s="1"/>
  <c r="O14" i="4"/>
  <c r="T14" i="4" s="1"/>
  <c r="N2" i="4"/>
  <c r="P2" i="4" s="1"/>
  <c r="N8" i="4"/>
  <c r="P8" i="4" s="1"/>
  <c r="N10" i="4"/>
  <c r="P10" i="4" s="1"/>
  <c r="N12" i="4"/>
  <c r="P12" i="4" s="1"/>
  <c r="N16" i="4"/>
  <c r="P16" i="4" s="1"/>
  <c r="U14" i="4" l="1"/>
  <c r="V14" i="4" s="1"/>
  <c r="B4" i="5"/>
  <c r="V6" i="4"/>
  <c r="U6" i="4"/>
  <c r="U4" i="4"/>
  <c r="B6" i="5" s="1"/>
  <c r="V2" i="4"/>
  <c r="B9" i="5"/>
  <c r="V4" i="4" l="1"/>
  <c r="B5" i="5" s="1"/>
  <c r="B10" i="5"/>
</calcChain>
</file>

<file path=xl/sharedStrings.xml><?xml version="1.0" encoding="utf-8"?>
<sst xmlns="http://schemas.openxmlformats.org/spreadsheetml/2006/main" count="186" uniqueCount="158">
  <si>
    <t>TECHNICAL ASSESSMENT: JUNIOR DATA ANALYST</t>
  </si>
  <si>
    <t>PT Nusantara Retail Makmur - Omnichannel Analytics Department</t>
  </si>
  <si>
    <t>Tujuan Proyek:</t>
  </si>
  <si>
    <t>Menguji kemampuan kandidat dalam data cleaning, data enrichment, business logic, dan agregasi data penjualan menggunakan spreadsheet.</t>
  </si>
  <si>
    <t>Daftar Sheet:</t>
  </si>
  <si>
    <t>1. Instructions &amp; Info: Gambaran umum proyek dan petunjuk teknis.
2. Raw_Transactions: Sheet utama pengerjaan formula dari kolom I s/d V.
3. Master_Product: Tabel referensi vertikal (Lookup Produk).
4. Master_Tier_Discount: Tabel referensi horizontal (Lookup Kategori Diskon).
5. KPI_Summary: Dashboard agregasi metrik penjualan eksekutif.</t>
  </si>
  <si>
    <t>Aturan Pengerjaan:</t>
  </si>
  <si>
    <t>- Gunakan formula dinamis untuk setiap kolom kalkulasi (jangan hardcode angka/teks).
- Pastikan seluruh materi teruji digunakan secara tepat.
- Materi yang diuji mencakup: IF, DATEDIF, VLOOKUP/HLOOKUP, REPLACE/SUBSTITUTE, UPPER/LOWER/PROPER, CONCAT, TRIM, AVERAGE, COUNT/COUNTA, SUM, MIN/MAX.</t>
  </si>
  <si>
    <t>Status Workbook:</t>
  </si>
  <si>
    <t>SOLUSI &amp; KUNCI JAWABAN LENGKAP</t>
  </si>
  <si>
    <t>SKU</t>
  </si>
  <si>
    <t>Product_Name</t>
  </si>
  <si>
    <t>Category</t>
  </si>
  <si>
    <t>Unit_Price</t>
  </si>
  <si>
    <t>PRD-101</t>
  </si>
  <si>
    <t>Laptop Sleeve 14"</t>
  </si>
  <si>
    <t>Accessories</t>
  </si>
  <si>
    <t>PRD-102</t>
  </si>
  <si>
    <t>Wireless Mouse</t>
  </si>
  <si>
    <t>Electronics</t>
  </si>
  <si>
    <t>PRD-103</t>
  </si>
  <si>
    <t>Mechanical Keyboard</t>
  </si>
  <si>
    <t>PRD-104</t>
  </si>
  <si>
    <t>USB-C Hub 7-in-1</t>
  </si>
  <si>
    <t>PRD-105</t>
  </si>
  <si>
    <t>Ergonomic Monitor Stand</t>
  </si>
  <si>
    <t>Furniture</t>
  </si>
  <si>
    <t>Other</t>
  </si>
  <si>
    <t>Base_Discount_Rate</t>
  </si>
  <si>
    <t>Trx_ID</t>
  </si>
  <si>
    <t>Cust_Name</t>
  </si>
  <si>
    <t>Cust_Email</t>
  </si>
  <si>
    <t>Join_Date</t>
  </si>
  <si>
    <t>Order_Date</t>
  </si>
  <si>
    <t>Product_SKU</t>
  </si>
  <si>
    <t>Qty</t>
  </si>
  <si>
    <t>Voucher_Code</t>
  </si>
  <si>
    <t>Clean_Cust_Name
[TRIM+PROPER]</t>
  </si>
  <si>
    <t>Clean_Email
[LOWER+TRIM]</t>
  </si>
  <si>
    <t>Standard_SKU
[SUBSTITUTE]</t>
  </si>
  <si>
    <t>Delivery_Code
[CONCAT]</t>
  </si>
  <si>
    <t>Product_Name
[VLOOKUP]</t>
  </si>
  <si>
    <t>Category
[VLOOKUP]</t>
  </si>
  <si>
    <t>Unit_Price
[VLOOKUP]</t>
  </si>
  <si>
    <t>Base_Discount
[HLOOKUP]</t>
  </si>
  <si>
    <t>Tenure_Months
[DATEDIF]</t>
  </si>
  <si>
    <t>Final_Discount_Rate
[IF]</t>
  </si>
  <si>
    <t>Customer_Segment
[IF Nested]</t>
  </si>
  <si>
    <t>Gross_Revenue
[CALC]</t>
  </si>
  <si>
    <t>Discount_Amount
[CALC]</t>
  </si>
  <si>
    <t>Net_Revenue
[CALC]</t>
  </si>
  <si>
    <t>TRX-001</t>
  </si>
  <si>
    <t xml:space="preserve">  budi santoso </t>
  </si>
  <si>
    <t>BUDI.S@GMAIL.COM</t>
  </si>
  <si>
    <t>2023-01-15</t>
  </si>
  <si>
    <t>2024-06-01</t>
  </si>
  <si>
    <t>OLD-PRD-101</t>
  </si>
  <si>
    <t>DISC10</t>
  </si>
  <si>
    <t>TRX-002</t>
  </si>
  <si>
    <t xml:space="preserve">SITI AMINAH   </t>
  </si>
  <si>
    <t>siti.a@yahoo.com</t>
  </si>
  <si>
    <t>2022-05-10</t>
  </si>
  <si>
    <t>2024-06-02</t>
  </si>
  <si>
    <t>NEW-PRD-102</t>
  </si>
  <si>
    <t>-</t>
  </si>
  <si>
    <t>TRX-003</t>
  </si>
  <si>
    <t xml:space="preserve"> andi wijaya</t>
  </si>
  <si>
    <t>ANDI_W@OUTLOOK.COM</t>
  </si>
  <si>
    <t>2024-01-01</t>
  </si>
  <si>
    <t>2024-06-05</t>
  </si>
  <si>
    <t>OLD-PRD-103</t>
  </si>
  <si>
    <t>CASHBACK</t>
  </si>
  <si>
    <t>TRX-004</t>
  </si>
  <si>
    <t>dewi lestari</t>
  </si>
  <si>
    <t>dewi.l@gmail.com</t>
  </si>
  <si>
    <t>2021-11-20</t>
  </si>
  <si>
    <t>2024-06-10</t>
  </si>
  <si>
    <t>TRX-005</t>
  </si>
  <si>
    <t xml:space="preserve">  RUDI HERMAWAN</t>
  </si>
  <si>
    <t>rudi.h@corp.id</t>
  </si>
  <si>
    <t>2023-08-05</t>
  </si>
  <si>
    <t>2024-06-15</t>
  </si>
  <si>
    <t>NEW-PRD-104</t>
  </si>
  <si>
    <t>TRX-006</t>
  </si>
  <si>
    <t xml:space="preserve">ratna sari  </t>
  </si>
  <si>
    <t>RATNA.S@GMAIL.COM</t>
  </si>
  <si>
    <t>2020-03-12</t>
  </si>
  <si>
    <t>2024-06-20</t>
  </si>
  <si>
    <t>TRX-007</t>
  </si>
  <si>
    <t xml:space="preserve">  hendra gunawan </t>
  </si>
  <si>
    <t>Hendra.G@gmail.com</t>
  </si>
  <si>
    <t>2022-02-14</t>
  </si>
  <si>
    <t>2024-06-21</t>
  </si>
  <si>
    <t>OLD-PRD-105</t>
  </si>
  <si>
    <t>TRX-008</t>
  </si>
  <si>
    <t>MAYA PUTRI</t>
  </si>
  <si>
    <t>maya_p@yahoo.co.id</t>
  </si>
  <si>
    <t>2023-11-10</t>
  </si>
  <si>
    <t>2024-06-22</t>
  </si>
  <si>
    <t>NEW-PRD-101</t>
  </si>
  <si>
    <t>TRX-009</t>
  </si>
  <si>
    <t xml:space="preserve"> eko prasetyo  </t>
  </si>
  <si>
    <t>EKO.P@OUTLOOK.COM</t>
  </si>
  <si>
    <t>2021-04-25</t>
  </si>
  <si>
    <t>2024-06-23</t>
  </si>
  <si>
    <t>OLD-PRD-104</t>
  </si>
  <si>
    <t>TRX-010</t>
  </si>
  <si>
    <t>linda kusuma</t>
  </si>
  <si>
    <t>linda.k@gmail.com</t>
  </si>
  <si>
    <t>2024-03-01</t>
  </si>
  <si>
    <t>2024-06-25</t>
  </si>
  <si>
    <t>NEW-PRD-103</t>
  </si>
  <si>
    <t>TRX-011</t>
  </si>
  <si>
    <t xml:space="preserve">  FAJAR SIDIK </t>
  </si>
  <si>
    <t>FAJAR_S@GMAIL.COM</t>
  </si>
  <si>
    <t>2022-09-18</t>
  </si>
  <si>
    <t>2024-06-26</t>
  </si>
  <si>
    <t>OLD-PRD-102</t>
  </si>
  <si>
    <t>TRX-012</t>
  </si>
  <si>
    <t>anisa rahmawati</t>
  </si>
  <si>
    <t>anisa.r@corp.co.id</t>
  </si>
  <si>
    <t>2020-07-07</t>
  </si>
  <si>
    <t>2024-06-27</t>
  </si>
  <si>
    <t>NEW-PRD-105</t>
  </si>
  <si>
    <t>TRX-013</t>
  </si>
  <si>
    <t xml:space="preserve"> rizki pratama </t>
  </si>
  <si>
    <t>RIZKI.P@YAHOO.COM</t>
  </si>
  <si>
    <t>2023-04-12</t>
  </si>
  <si>
    <t>2024-06-28</t>
  </si>
  <si>
    <t>TRX-014</t>
  </si>
  <si>
    <t xml:space="preserve">DIAN SASTRO </t>
  </si>
  <si>
    <t>dian.s@gmail.com</t>
  </si>
  <si>
    <t>2021-12-30</t>
  </si>
  <si>
    <t>2024-06-29</t>
  </si>
  <si>
    <t>TRX-015</t>
  </si>
  <si>
    <t xml:space="preserve">  bambang pamungkas</t>
  </si>
  <si>
    <t>BAMBANG.P@OUTLOOK.COM</t>
  </si>
  <si>
    <t>2019-10-15</t>
  </si>
  <si>
    <t>2024-06-30</t>
  </si>
  <si>
    <t>EXECUTIVE KPI SUMMARY DASHBOARD</t>
  </si>
  <si>
    <t>Metric Name</t>
  </si>
  <si>
    <t>Metric Value / Calculation</t>
  </si>
  <si>
    <t>Function Tested</t>
  </si>
  <si>
    <t>Total Gross Revenue</t>
  </si>
  <si>
    <t>SUM</t>
  </si>
  <si>
    <t>Total Net Revenue</t>
  </si>
  <si>
    <t>Total Discount Given</t>
  </si>
  <si>
    <t>Total Successful Orders</t>
  </si>
  <si>
    <t>COUNTA / COUNT</t>
  </si>
  <si>
    <t>Total Quantity Sold</t>
  </si>
  <si>
    <t>Average Order Value (AOV Gross)</t>
  </si>
  <si>
    <t>AVERAGE</t>
  </si>
  <si>
    <t>Average Order Value (AOV Net)</t>
  </si>
  <si>
    <t>Highest Single Transaction (Gross)</t>
  </si>
  <si>
    <t>MAX</t>
  </si>
  <si>
    <t>Lowest Single Transaction (Gross)</t>
  </si>
  <si>
    <t>MIN</t>
  </si>
  <si>
    <t>Average Customer Tenure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</si>
</sst>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R\p\ #,##0"/>
    <numFmt numFmtId="165" formatCode="0.0%"/>
    <numFmt numFmtId="166" formatCode="0.0\ &quot;Bulan&quot;"/>
  </numFmts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Segoe UI"/>
      <family val="2"/>
    </font>
    <font>
      <i/>
      <sz val="11"/>
      <color rgb="FF595959"/>
      <name val="Segoe UI"/>
      <family val="2"/>
    </font>
    <font>
      <b/>
      <sz val="11"/>
      <color rgb="FF1F4E78"/>
      <name val="Segoe UI"/>
      <family val="2"/>
    </font>
    <font>
      <sz val="10"/>
      <name val="Segoe UI"/>
      <family val="2"/>
    </font>
    <font>
      <b/>
      <sz val="11"/>
      <color rgb="FFFFFFFF"/>
      <name val="Segoe UI"/>
      <family val="2"/>
    </font>
    <font>
      <b/>
      <sz val="14"/>
      <color rgb="FF1F4E78"/>
      <name val="Segoe UI"/>
      <family val="2"/>
    </font>
    <font>
      <b/>
      <sz val="1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385723"/>
        <bgColor rgb="FF385723"/>
      </patternFill>
    </fill>
    <fill>
      <patternFill patternType="solid">
        <fgColor rgb="FF548235"/>
        <bgColor rgb="FF548235"/>
      </patternFill>
    </fill>
    <fill>
      <patternFill patternType="solid">
        <fgColor rgb="FF1F4E78"/>
        <bgColor rgb="FF1F4E78"/>
      </patternFill>
    </fill>
    <fill>
      <patternFill patternType="solid">
        <fgColor rgb="FF7030A0"/>
        <bgColor rgb="FF7030A0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/>
  </sheetViews>
  <sheetFormatPr defaultRowHeight="15" x14ac:dyDescent="0.25"/>
  <cols>
    <col min="1" max="1" width="22" customWidth="1"/>
    <col min="2" max="2" width="80" customWidth="1"/>
  </cols>
  <sheetData>
    <row r="1" spans="1:8" ht="25.5" x14ac:dyDescent="0.5">
      <c r="A1" s="1" t="s">
        <v>0</v>
      </c>
    </row>
    <row r="2" spans="1:8" ht="16.5" x14ac:dyDescent="0.3">
      <c r="A2" s="2" t="s">
        <v>1</v>
      </c>
    </row>
    <row r="4" spans="1:8" ht="16.5" x14ac:dyDescent="0.3">
      <c r="A4" s="3" t="s">
        <v>2</v>
      </c>
      <c r="B4" s="20" t="s">
        <v>3</v>
      </c>
      <c r="C4" s="21"/>
      <c r="D4" s="21"/>
      <c r="E4" s="21"/>
      <c r="F4" s="21"/>
      <c r="G4" s="21"/>
      <c r="H4" s="21"/>
    </row>
    <row r="6" spans="1:8" ht="16.5" x14ac:dyDescent="0.3">
      <c r="A6" s="3" t="s">
        <v>4</v>
      </c>
      <c r="B6" s="20" t="s">
        <v>5</v>
      </c>
      <c r="C6" s="21"/>
      <c r="D6" s="21"/>
      <c r="E6" s="21"/>
      <c r="F6" s="21"/>
      <c r="G6" s="21"/>
      <c r="H6" s="21"/>
    </row>
    <row r="7" spans="1:8" x14ac:dyDescent="0.25">
      <c r="B7" s="21"/>
      <c r="C7" s="21"/>
      <c r="D7" s="21"/>
      <c r="E7" s="21"/>
      <c r="F7" s="21"/>
      <c r="G7" s="21"/>
      <c r="H7" s="21"/>
    </row>
    <row r="8" spans="1:8" ht="16.5" x14ac:dyDescent="0.3">
      <c r="A8" s="3" t="s">
        <v>6</v>
      </c>
      <c r="B8" s="20" t="s">
        <v>7</v>
      </c>
      <c r="C8" s="21"/>
      <c r="D8" s="21"/>
      <c r="E8" s="21"/>
      <c r="F8" s="21"/>
      <c r="G8" s="21"/>
      <c r="H8" s="21"/>
    </row>
    <row r="9" spans="1:8" x14ac:dyDescent="0.25">
      <c r="B9" s="21"/>
      <c r="C9" s="21"/>
      <c r="D9" s="21"/>
      <c r="E9" s="21"/>
      <c r="F9" s="21"/>
      <c r="G9" s="21"/>
      <c r="H9" s="21"/>
    </row>
    <row r="10" spans="1:8" ht="16.5" x14ac:dyDescent="0.3">
      <c r="A10" s="3" t="s">
        <v>8</v>
      </c>
      <c r="B10" s="20" t="s">
        <v>9</v>
      </c>
      <c r="C10" s="21"/>
      <c r="D10" s="21"/>
      <c r="E10" s="21"/>
      <c r="F10" s="21"/>
      <c r="G10" s="21"/>
      <c r="H10" s="21"/>
    </row>
  </sheetData>
  <mergeCells count="4">
    <mergeCell ref="B6:H7"/>
    <mergeCell ref="B4:H4"/>
    <mergeCell ref="B8:H9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5" x14ac:dyDescent="0.25"/>
  <cols>
    <col min="1" max="1" width="14" customWidth="1"/>
    <col min="2" max="2" width="27" customWidth="1"/>
    <col min="3" max="3" width="15" customWidth="1"/>
    <col min="4" max="4" width="14" customWidth="1"/>
  </cols>
  <sheetData>
    <row r="1" spans="1:4" ht="16.5" x14ac:dyDescent="0.25">
      <c r="A1" s="4" t="s">
        <v>10</v>
      </c>
      <c r="B1" s="4" t="s">
        <v>11</v>
      </c>
      <c r="C1" s="4" t="s">
        <v>12</v>
      </c>
      <c r="D1" s="4" t="s">
        <v>13</v>
      </c>
    </row>
    <row r="2" spans="1:4" x14ac:dyDescent="0.25">
      <c r="A2" s="5" t="s">
        <v>14</v>
      </c>
      <c r="B2" s="6" t="s">
        <v>15</v>
      </c>
      <c r="C2" s="6" t="s">
        <v>16</v>
      </c>
      <c r="D2" s="7">
        <v>150000</v>
      </c>
    </row>
    <row r="3" spans="1:4" x14ac:dyDescent="0.25">
      <c r="A3" s="5" t="s">
        <v>17</v>
      </c>
      <c r="B3" s="6" t="s">
        <v>18</v>
      </c>
      <c r="C3" s="6" t="s">
        <v>19</v>
      </c>
      <c r="D3" s="7">
        <v>250000</v>
      </c>
    </row>
    <row r="4" spans="1:4" x14ac:dyDescent="0.25">
      <c r="A4" s="5" t="s">
        <v>20</v>
      </c>
      <c r="B4" s="6" t="s">
        <v>21</v>
      </c>
      <c r="C4" s="6" t="s">
        <v>19</v>
      </c>
      <c r="D4" s="7">
        <v>750000</v>
      </c>
    </row>
    <row r="5" spans="1:4" x14ac:dyDescent="0.25">
      <c r="A5" s="5" t="s">
        <v>22</v>
      </c>
      <c r="B5" s="6" t="s">
        <v>23</v>
      </c>
      <c r="C5" s="6" t="s">
        <v>16</v>
      </c>
      <c r="D5" s="7">
        <v>320000</v>
      </c>
    </row>
    <row r="6" spans="1:4" x14ac:dyDescent="0.25">
      <c r="A6" s="5" t="s">
        <v>24</v>
      </c>
      <c r="B6" s="6" t="s">
        <v>25</v>
      </c>
      <c r="C6" s="6" t="s">
        <v>26</v>
      </c>
      <c r="D6" s="7">
        <v>450000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cols>
    <col min="1" max="5" width="20" customWidth="1"/>
  </cols>
  <sheetData>
    <row r="1" spans="1:5" ht="16.5" x14ac:dyDescent="0.25">
      <c r="A1" s="8" t="s">
        <v>12</v>
      </c>
      <c r="B1" s="9" t="s">
        <v>16</v>
      </c>
      <c r="C1" s="9" t="s">
        <v>19</v>
      </c>
      <c r="D1" s="9" t="s">
        <v>26</v>
      </c>
      <c r="E1" s="9" t="s">
        <v>27</v>
      </c>
    </row>
    <row r="2" spans="1:5" ht="33" x14ac:dyDescent="0.25">
      <c r="A2" s="8" t="s">
        <v>28</v>
      </c>
      <c r="B2" s="10">
        <v>0.05</v>
      </c>
      <c r="C2" s="10">
        <v>0.1</v>
      </c>
      <c r="D2" s="10">
        <v>0.08</v>
      </c>
      <c r="E2" s="10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6"/>
  <sheetViews>
    <sheetView tabSelected="1" topLeftCell="D1" workbookViewId="0">
      <selection activeCell="K2" sqref="K2"/>
    </sheetView>
  </sheetViews>
  <sheetFormatPr defaultRowHeight="15" x14ac:dyDescent="0.25"/>
  <cols>
    <col min="1" max="1" width="8" bestFit="1" customWidth="1"/>
    <col min="2" max="2" width="20.5703125" bestFit="1" customWidth="1"/>
    <col min="3" max="3" width="26.7109375" bestFit="1" customWidth="1"/>
    <col min="4" max="4" width="11" bestFit="1" customWidth="1"/>
    <col min="5" max="5" width="12.5703125" bestFit="1" customWidth="1"/>
    <col min="6" max="6" width="14.28515625" bestFit="1" customWidth="1"/>
    <col min="7" max="7" width="4.85546875" bestFit="1" customWidth="1"/>
    <col min="8" max="8" width="15.5703125" bestFit="1" customWidth="1"/>
    <col min="9" max="9" width="19.140625" bestFit="1" customWidth="1"/>
    <col min="10" max="10" width="23" bestFit="1" customWidth="1"/>
    <col min="11" max="11" width="15.7109375" bestFit="1" customWidth="1"/>
    <col min="12" max="12" width="20.140625" bestFit="1" customWidth="1"/>
    <col min="13" max="13" width="23" bestFit="1" customWidth="1"/>
    <col min="14" max="15" width="13" bestFit="1" customWidth="1"/>
    <col min="16" max="16" width="15.85546875" bestFit="1" customWidth="1"/>
    <col min="17" max="17" width="17" bestFit="1" customWidth="1"/>
    <col min="18" max="18" width="16.7109375" bestFit="1" customWidth="1"/>
    <col min="19" max="19" width="17.7109375" bestFit="1" customWidth="1"/>
    <col min="20" max="20" width="16.5703125" bestFit="1" customWidth="1"/>
    <col min="21" max="21" width="17.28515625" bestFit="1" customWidth="1"/>
    <col min="22" max="22" width="14.5703125" bestFit="1" customWidth="1"/>
  </cols>
  <sheetData>
    <row r="1" spans="1:22" ht="66" x14ac:dyDescent="0.25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1" t="s">
        <v>34</v>
      </c>
      <c r="G1" s="11" t="s">
        <v>35</v>
      </c>
      <c r="H1" s="11" t="s">
        <v>36</v>
      </c>
      <c r="I1" s="12" t="s">
        <v>37</v>
      </c>
      <c r="J1" s="12" t="s">
        <v>38</v>
      </c>
      <c r="K1" s="12" t="s">
        <v>39</v>
      </c>
      <c r="L1" s="12" t="s">
        <v>40</v>
      </c>
      <c r="M1" s="4" t="s">
        <v>41</v>
      </c>
      <c r="N1" s="4" t="s">
        <v>42</v>
      </c>
      <c r="O1" s="4" t="s">
        <v>43</v>
      </c>
      <c r="P1" s="8" t="s">
        <v>44</v>
      </c>
      <c r="Q1" s="13" t="s">
        <v>45</v>
      </c>
      <c r="R1" s="13" t="s">
        <v>46</v>
      </c>
      <c r="S1" s="13" t="s">
        <v>47</v>
      </c>
      <c r="T1" s="14" t="s">
        <v>48</v>
      </c>
      <c r="U1" s="14" t="s">
        <v>49</v>
      </c>
      <c r="V1" s="14" t="s">
        <v>50</v>
      </c>
    </row>
    <row r="2" spans="1:22" x14ac:dyDescent="0.25">
      <c r="A2" s="5" t="s">
        <v>51</v>
      </c>
      <c r="B2" s="6" t="s">
        <v>52</v>
      </c>
      <c r="C2" s="6" t="s">
        <v>53</v>
      </c>
      <c r="D2" s="5" t="s">
        <v>54</v>
      </c>
      <c r="E2" s="5" t="s">
        <v>55</v>
      </c>
      <c r="F2" s="5" t="s">
        <v>56</v>
      </c>
      <c r="G2" s="15">
        <v>2</v>
      </c>
      <c r="H2" s="5" t="s">
        <v>57</v>
      </c>
      <c r="I2" s="6" t="str">
        <f t="shared" ref="I2:I16" si="0">PROPER(TRIM(B2))</f>
        <v>Budi Santoso</v>
      </c>
      <c r="J2" s="6" t="str">
        <f t="shared" ref="J2:J16" si="1">LOWER(TRIM(C2))</f>
        <v>budi.s@gmail.com</v>
      </c>
      <c r="K2" s="5" t="str">
        <f t="shared" ref="K2:K16" si="2">SUBSTITUTE(SUBSTITUTE(F2, "OLD-", ""), "NEW-", "")</f>
        <v>PRD-101</v>
      </c>
      <c r="L2" s="5" t="str">
        <f>_xlfn.CONCAT(A2, _xlfn.CONCAT("-SHP-", K2))</f>
        <v>TRX-001-SHP-PRD-101</v>
      </c>
      <c r="M2" s="6" t="str">
        <f>VLOOKUP(K2, Master_Product!$A$2:$D$6, 2, FALSE)</f>
        <v>Laptop Sleeve 14"</v>
      </c>
      <c r="N2" s="6" t="str">
        <f>VLOOKUP(K2, Master_Product!$A$2:$D$6, 3, FALSE)</f>
        <v>Accessories</v>
      </c>
      <c r="O2" s="7">
        <f>VLOOKUP(K2, Master_Product!$A$2:$D$6, 4, FALSE)</f>
        <v>150000</v>
      </c>
      <c r="P2" s="10">
        <f>HLOOKUP(N2, Master_Tier_Discount!$B$1:$E$2, 2, FALSE)</f>
        <v>0.05</v>
      </c>
      <c r="Q2" s="15">
        <f t="shared" ref="Q2:Q16" si="3">DATEDIF(D2, E2, "M")</f>
        <v>16</v>
      </c>
      <c r="R2" s="10">
        <f t="shared" ref="R2:R16" si="4">IF(H2="DISC10", 0.1, IF(H2="CASHBACK", 0.05, P2))</f>
        <v>0.1</v>
      </c>
      <c r="S2" s="5" t="str">
        <f t="shared" ref="S2:S16" si="5">IF(Q2&gt;24, "VIP Tier", IF(Q2&gt;=12, "Gold Tier", "Silver Tier"))</f>
        <v>Gold Tier</v>
      </c>
      <c r="T2" s="7">
        <f t="shared" ref="T2:T16" si="6">G2*O2</f>
        <v>300000</v>
      </c>
      <c r="U2" s="7">
        <f t="shared" ref="U2:U16" si="7">T2*R2</f>
        <v>30000</v>
      </c>
      <c r="V2" s="7">
        <f t="shared" ref="V2:V16" si="8">T2-U2</f>
        <v>270000</v>
      </c>
    </row>
    <row r="3" spans="1:22" x14ac:dyDescent="0.25">
      <c r="A3" s="5" t="s">
        <v>58</v>
      </c>
      <c r="B3" s="6" t="s">
        <v>59</v>
      </c>
      <c r="C3" s="6" t="s">
        <v>60</v>
      </c>
      <c r="D3" s="5" t="s">
        <v>61</v>
      </c>
      <c r="E3" s="5" t="s">
        <v>62</v>
      </c>
      <c r="F3" s="5" t="s">
        <v>63</v>
      </c>
      <c r="G3" s="15">
        <v>1</v>
      </c>
      <c r="H3" s="5" t="s">
        <v>64</v>
      </c>
      <c r="I3" s="6" t="str">
        <f t="shared" si="0"/>
        <v>Siti Aminah</v>
      </c>
      <c r="J3" s="6" t="str">
        <f t="shared" si="1"/>
        <v>siti.a@yahoo.com</v>
      </c>
      <c r="K3" s="5" t="str">
        <f t="shared" si="2"/>
        <v>PRD-102</v>
      </c>
      <c r="L3" s="5" t="str">
        <f t="shared" ref="L3:L16" si="9">_xlfn.CONCAT(A3, _xlfn.CONCAT("-SHP-", K3))</f>
        <v>TRX-002-SHP-PRD-102</v>
      </c>
      <c r="M3" s="6" t="str">
        <f>VLOOKUP(K3, Master_Product!$A$2:$D$6, 2, FALSE)</f>
        <v>Wireless Mouse</v>
      </c>
      <c r="N3" s="6" t="str">
        <f>VLOOKUP(K3, Master_Product!$A$2:$D$6, 3, FALSE)</f>
        <v>Electronics</v>
      </c>
      <c r="O3" s="7">
        <f>VLOOKUP(K3, Master_Product!$A$2:$D$6, 4, FALSE)</f>
        <v>250000</v>
      </c>
      <c r="P3" s="10">
        <f>HLOOKUP(N3, Master_Tier_Discount!$B$1:$E$2, 2, FALSE)</f>
        <v>0.1</v>
      </c>
      <c r="Q3" s="15">
        <f t="shared" si="3"/>
        <v>24</v>
      </c>
      <c r="R3" s="10">
        <f t="shared" si="4"/>
        <v>0.1</v>
      </c>
      <c r="S3" s="5" t="str">
        <f t="shared" si="5"/>
        <v>Gold Tier</v>
      </c>
      <c r="T3" s="7">
        <f t="shared" si="6"/>
        <v>250000</v>
      </c>
      <c r="U3" s="7">
        <f t="shared" si="7"/>
        <v>25000</v>
      </c>
      <c r="V3" s="7">
        <f t="shared" si="8"/>
        <v>225000</v>
      </c>
    </row>
    <row r="4" spans="1:22" x14ac:dyDescent="0.25">
      <c r="A4" s="5" t="s">
        <v>65</v>
      </c>
      <c r="B4" s="6" t="s">
        <v>66</v>
      </c>
      <c r="C4" s="6" t="s">
        <v>67</v>
      </c>
      <c r="D4" s="5" t="s">
        <v>68</v>
      </c>
      <c r="E4" s="5" t="s">
        <v>69</v>
      </c>
      <c r="F4" s="5" t="s">
        <v>70</v>
      </c>
      <c r="G4" s="15">
        <v>5</v>
      </c>
      <c r="H4" s="5" t="s">
        <v>71</v>
      </c>
      <c r="I4" s="6" t="str">
        <f t="shared" si="0"/>
        <v>Andi Wijaya</v>
      </c>
      <c r="J4" s="6" t="str">
        <f t="shared" si="1"/>
        <v>andi_w@outlook.com</v>
      </c>
      <c r="K4" s="5" t="str">
        <f t="shared" si="2"/>
        <v>PRD-103</v>
      </c>
      <c r="L4" s="5" t="str">
        <f t="shared" si="9"/>
        <v>TRX-003-SHP-PRD-103</v>
      </c>
      <c r="M4" s="6" t="str">
        <f>VLOOKUP(K4, Master_Product!$A$2:$D$6, 2, FALSE)</f>
        <v>Mechanical Keyboard</v>
      </c>
      <c r="N4" s="6" t="str">
        <f>VLOOKUP(K4, Master_Product!$A$2:$D$6, 3, FALSE)</f>
        <v>Electronics</v>
      </c>
      <c r="O4" s="7">
        <f>VLOOKUP(K4, Master_Product!$A$2:$D$6, 4, FALSE)</f>
        <v>750000</v>
      </c>
      <c r="P4" s="10">
        <f>HLOOKUP(N4, Master_Tier_Discount!$B$1:$E$2, 2, FALSE)</f>
        <v>0.1</v>
      </c>
      <c r="Q4" s="15">
        <f t="shared" si="3"/>
        <v>5</v>
      </c>
      <c r="R4" s="10">
        <f t="shared" si="4"/>
        <v>0.05</v>
      </c>
      <c r="S4" s="5" t="str">
        <f t="shared" si="5"/>
        <v>Silver Tier</v>
      </c>
      <c r="T4" s="7">
        <f t="shared" si="6"/>
        <v>3750000</v>
      </c>
      <c r="U4" s="7">
        <f t="shared" si="7"/>
        <v>187500</v>
      </c>
      <c r="V4" s="7">
        <f t="shared" si="8"/>
        <v>3562500</v>
      </c>
    </row>
    <row r="5" spans="1:22" x14ac:dyDescent="0.25">
      <c r="A5" s="5" t="s">
        <v>72</v>
      </c>
      <c r="B5" s="6" t="s">
        <v>73</v>
      </c>
      <c r="C5" s="6" t="s">
        <v>74</v>
      </c>
      <c r="D5" s="5" t="s">
        <v>75</v>
      </c>
      <c r="E5" s="5" t="s">
        <v>76</v>
      </c>
      <c r="F5" s="5" t="s">
        <v>56</v>
      </c>
      <c r="G5" s="15">
        <v>1</v>
      </c>
      <c r="H5" s="5" t="s">
        <v>57</v>
      </c>
      <c r="I5" s="6" t="str">
        <f t="shared" si="0"/>
        <v>Dewi Lestari</v>
      </c>
      <c r="J5" s="6" t="str">
        <f t="shared" si="1"/>
        <v>dewi.l@gmail.com</v>
      </c>
      <c r="K5" s="5" t="str">
        <f t="shared" si="2"/>
        <v>PRD-101</v>
      </c>
      <c r="L5" s="5" t="str">
        <f t="shared" si="9"/>
        <v>TRX-004-SHP-PRD-101</v>
      </c>
      <c r="M5" s="6" t="str">
        <f>VLOOKUP(K5, Master_Product!$A$2:$D$6, 2, FALSE)</f>
        <v>Laptop Sleeve 14"</v>
      </c>
      <c r="N5" s="6" t="str">
        <f>VLOOKUP(K5, Master_Product!$A$2:$D$6, 3, FALSE)</f>
        <v>Accessories</v>
      </c>
      <c r="O5" s="7">
        <f>VLOOKUP(K5, Master_Product!$A$2:$D$6, 4, FALSE)</f>
        <v>150000</v>
      </c>
      <c r="P5" s="10">
        <f>HLOOKUP(N5, Master_Tier_Discount!$B$1:$E$2, 2, FALSE)</f>
        <v>0.05</v>
      </c>
      <c r="Q5" s="15">
        <f t="shared" si="3"/>
        <v>30</v>
      </c>
      <c r="R5" s="10">
        <f t="shared" si="4"/>
        <v>0.1</v>
      </c>
      <c r="S5" s="5" t="str">
        <f t="shared" si="5"/>
        <v>VIP Tier</v>
      </c>
      <c r="T5" s="7">
        <f t="shared" si="6"/>
        <v>150000</v>
      </c>
      <c r="U5" s="7">
        <f t="shared" si="7"/>
        <v>15000</v>
      </c>
      <c r="V5" s="7">
        <f t="shared" si="8"/>
        <v>135000</v>
      </c>
    </row>
    <row r="6" spans="1:22" x14ac:dyDescent="0.25">
      <c r="A6" s="5" t="s">
        <v>77</v>
      </c>
      <c r="B6" s="6" t="s">
        <v>78</v>
      </c>
      <c r="C6" s="6" t="s">
        <v>79</v>
      </c>
      <c r="D6" s="5" t="s">
        <v>80</v>
      </c>
      <c r="E6" s="5" t="s">
        <v>81</v>
      </c>
      <c r="F6" s="5" t="s">
        <v>82</v>
      </c>
      <c r="G6" s="15">
        <v>3</v>
      </c>
      <c r="H6" s="5" t="s">
        <v>64</v>
      </c>
      <c r="I6" s="6" t="str">
        <f t="shared" si="0"/>
        <v>Rudi Hermawan</v>
      </c>
      <c r="J6" s="6" t="str">
        <f t="shared" si="1"/>
        <v>rudi.h@corp.id</v>
      </c>
      <c r="K6" s="5" t="str">
        <f t="shared" si="2"/>
        <v>PRD-104</v>
      </c>
      <c r="L6" s="5" t="str">
        <f t="shared" si="9"/>
        <v>TRX-005-SHP-PRD-104</v>
      </c>
      <c r="M6" s="6" t="str">
        <f>VLOOKUP(K6, Master_Product!$A$2:$D$6, 2, FALSE)</f>
        <v>USB-C Hub 7-in-1</v>
      </c>
      <c r="N6" s="6" t="str">
        <f>VLOOKUP(K6, Master_Product!$A$2:$D$6, 3, FALSE)</f>
        <v>Accessories</v>
      </c>
      <c r="O6" s="7">
        <f>VLOOKUP(K6, Master_Product!$A$2:$D$6, 4, FALSE)</f>
        <v>320000</v>
      </c>
      <c r="P6" s="10">
        <f>HLOOKUP(N6, Master_Tier_Discount!$B$1:$E$2, 2, FALSE)</f>
        <v>0.05</v>
      </c>
      <c r="Q6" s="15">
        <f t="shared" si="3"/>
        <v>10</v>
      </c>
      <c r="R6" s="10">
        <f t="shared" si="4"/>
        <v>0.05</v>
      </c>
      <c r="S6" s="5" t="str">
        <f t="shared" si="5"/>
        <v>Silver Tier</v>
      </c>
      <c r="T6" s="7">
        <f t="shared" si="6"/>
        <v>960000</v>
      </c>
      <c r="U6" s="7">
        <f t="shared" si="7"/>
        <v>48000</v>
      </c>
      <c r="V6" s="7">
        <f t="shared" si="8"/>
        <v>912000</v>
      </c>
    </row>
    <row r="7" spans="1:22" x14ac:dyDescent="0.25">
      <c r="A7" s="5" t="s">
        <v>83</v>
      </c>
      <c r="B7" s="6" t="s">
        <v>84</v>
      </c>
      <c r="C7" s="6" t="s">
        <v>85</v>
      </c>
      <c r="D7" s="5" t="s">
        <v>86</v>
      </c>
      <c r="E7" s="5" t="s">
        <v>87</v>
      </c>
      <c r="F7" s="5" t="s">
        <v>63</v>
      </c>
      <c r="G7" s="15">
        <v>4</v>
      </c>
      <c r="H7" s="5" t="s">
        <v>57</v>
      </c>
      <c r="I7" s="6" t="str">
        <f t="shared" si="0"/>
        <v>Ratna Sari</v>
      </c>
      <c r="J7" s="6" t="str">
        <f t="shared" si="1"/>
        <v>ratna.s@gmail.com</v>
      </c>
      <c r="K7" s="5" t="str">
        <f t="shared" si="2"/>
        <v>PRD-102</v>
      </c>
      <c r="L7" s="5" t="str">
        <f t="shared" si="9"/>
        <v>TRX-006-SHP-PRD-102</v>
      </c>
      <c r="M7" s="6" t="str">
        <f>VLOOKUP(K7, Master_Product!$A$2:$D$6, 2, FALSE)</f>
        <v>Wireless Mouse</v>
      </c>
      <c r="N7" s="6" t="str">
        <f>VLOOKUP(K7, Master_Product!$A$2:$D$6, 3, FALSE)</f>
        <v>Electronics</v>
      </c>
      <c r="O7" s="7">
        <f>VLOOKUP(K7, Master_Product!$A$2:$D$6, 4, FALSE)</f>
        <v>250000</v>
      </c>
      <c r="P7" s="10">
        <f>HLOOKUP(N7, Master_Tier_Discount!$B$1:$E$2, 2, FALSE)</f>
        <v>0.1</v>
      </c>
      <c r="Q7" s="15">
        <f t="shared" si="3"/>
        <v>51</v>
      </c>
      <c r="R7" s="10">
        <f t="shared" si="4"/>
        <v>0.1</v>
      </c>
      <c r="S7" s="5" t="str">
        <f t="shared" si="5"/>
        <v>VIP Tier</v>
      </c>
      <c r="T7" s="7">
        <f t="shared" si="6"/>
        <v>1000000</v>
      </c>
      <c r="U7" s="7">
        <f t="shared" si="7"/>
        <v>100000</v>
      </c>
      <c r="V7" s="7">
        <f t="shared" si="8"/>
        <v>900000</v>
      </c>
    </row>
    <row r="8" spans="1:22" x14ac:dyDescent="0.25">
      <c r="A8" s="5" t="s">
        <v>88</v>
      </c>
      <c r="B8" s="6" t="s">
        <v>89</v>
      </c>
      <c r="C8" s="6" t="s">
        <v>90</v>
      </c>
      <c r="D8" s="5" t="s">
        <v>91</v>
      </c>
      <c r="E8" s="5" t="s">
        <v>92</v>
      </c>
      <c r="F8" s="5" t="s">
        <v>93</v>
      </c>
      <c r="G8" s="15">
        <v>2</v>
      </c>
      <c r="H8" s="5" t="s">
        <v>71</v>
      </c>
      <c r="I8" s="6" t="str">
        <f t="shared" si="0"/>
        <v>Hendra Gunawan</v>
      </c>
      <c r="J8" s="6" t="str">
        <f t="shared" si="1"/>
        <v>hendra.g@gmail.com</v>
      </c>
      <c r="K8" s="5" t="str">
        <f t="shared" si="2"/>
        <v>PRD-105</v>
      </c>
      <c r="L8" s="5" t="str">
        <f t="shared" si="9"/>
        <v>TRX-007-SHP-PRD-105</v>
      </c>
      <c r="M8" s="6" t="str">
        <f>VLOOKUP(K8, Master_Product!$A$2:$D$6, 2, FALSE)</f>
        <v>Ergonomic Monitor Stand</v>
      </c>
      <c r="N8" s="6" t="str">
        <f>VLOOKUP(K8, Master_Product!$A$2:$D$6, 3, FALSE)</f>
        <v>Furniture</v>
      </c>
      <c r="O8" s="7">
        <f>VLOOKUP(K8, Master_Product!$A$2:$D$6, 4, FALSE)</f>
        <v>450000</v>
      </c>
      <c r="P8" s="10">
        <f>HLOOKUP(N8, Master_Tier_Discount!$B$1:$E$2, 2, FALSE)</f>
        <v>0.08</v>
      </c>
      <c r="Q8" s="15">
        <f t="shared" si="3"/>
        <v>28</v>
      </c>
      <c r="R8" s="10">
        <f t="shared" si="4"/>
        <v>0.05</v>
      </c>
      <c r="S8" s="5" t="str">
        <f t="shared" si="5"/>
        <v>VIP Tier</v>
      </c>
      <c r="T8" s="7">
        <f t="shared" si="6"/>
        <v>900000</v>
      </c>
      <c r="U8" s="7">
        <f t="shared" si="7"/>
        <v>45000</v>
      </c>
      <c r="V8" s="7">
        <f t="shared" si="8"/>
        <v>855000</v>
      </c>
    </row>
    <row r="9" spans="1:22" x14ac:dyDescent="0.25">
      <c r="A9" s="5" t="s">
        <v>94</v>
      </c>
      <c r="B9" s="6" t="s">
        <v>95</v>
      </c>
      <c r="C9" s="6" t="s">
        <v>96</v>
      </c>
      <c r="D9" s="5" t="s">
        <v>97</v>
      </c>
      <c r="E9" s="5" t="s">
        <v>98</v>
      </c>
      <c r="F9" s="5" t="s">
        <v>99</v>
      </c>
      <c r="G9" s="15">
        <v>1</v>
      </c>
      <c r="H9" s="5" t="s">
        <v>64</v>
      </c>
      <c r="I9" s="6" t="str">
        <f t="shared" si="0"/>
        <v>Maya Putri</v>
      </c>
      <c r="J9" s="6" t="str">
        <f t="shared" si="1"/>
        <v>maya_p@yahoo.co.id</v>
      </c>
      <c r="K9" s="5" t="str">
        <f t="shared" si="2"/>
        <v>PRD-101</v>
      </c>
      <c r="L9" s="5" t="str">
        <f t="shared" si="9"/>
        <v>TRX-008-SHP-PRD-101</v>
      </c>
      <c r="M9" s="6" t="str">
        <f>VLOOKUP(K9, Master_Product!$A$2:$D$6, 2, FALSE)</f>
        <v>Laptop Sleeve 14"</v>
      </c>
      <c r="N9" s="6" t="str">
        <f>VLOOKUP(K9, Master_Product!$A$2:$D$6, 3, FALSE)</f>
        <v>Accessories</v>
      </c>
      <c r="O9" s="7">
        <f>VLOOKUP(K9, Master_Product!$A$2:$D$6, 4, FALSE)</f>
        <v>150000</v>
      </c>
      <c r="P9" s="10">
        <f>HLOOKUP(N9, Master_Tier_Discount!$B$1:$E$2, 2, FALSE)</f>
        <v>0.05</v>
      </c>
      <c r="Q9" s="15">
        <f t="shared" si="3"/>
        <v>7</v>
      </c>
      <c r="R9" s="10">
        <f t="shared" si="4"/>
        <v>0.05</v>
      </c>
      <c r="S9" s="5" t="str">
        <f t="shared" si="5"/>
        <v>Silver Tier</v>
      </c>
      <c r="T9" s="7">
        <f t="shared" si="6"/>
        <v>150000</v>
      </c>
      <c r="U9" s="7">
        <f t="shared" si="7"/>
        <v>7500</v>
      </c>
      <c r="V9" s="7">
        <f t="shared" si="8"/>
        <v>142500</v>
      </c>
    </row>
    <row r="10" spans="1:22" x14ac:dyDescent="0.25">
      <c r="A10" s="5" t="s">
        <v>100</v>
      </c>
      <c r="B10" s="6" t="s">
        <v>101</v>
      </c>
      <c r="C10" s="6" t="s">
        <v>102</v>
      </c>
      <c r="D10" s="5" t="s">
        <v>103</v>
      </c>
      <c r="E10" s="5" t="s">
        <v>104</v>
      </c>
      <c r="F10" s="5" t="s">
        <v>105</v>
      </c>
      <c r="G10" s="15">
        <v>2</v>
      </c>
      <c r="H10" s="5" t="s">
        <v>57</v>
      </c>
      <c r="I10" s="6" t="str">
        <f t="shared" si="0"/>
        <v>Eko Prasetyo</v>
      </c>
      <c r="J10" s="6" t="str">
        <f t="shared" si="1"/>
        <v>eko.p@outlook.com</v>
      </c>
      <c r="K10" s="5" t="str">
        <f t="shared" si="2"/>
        <v>PRD-104</v>
      </c>
      <c r="L10" s="5" t="str">
        <f t="shared" si="9"/>
        <v>TRX-009-SHP-PRD-104</v>
      </c>
      <c r="M10" s="6" t="str">
        <f>VLOOKUP(K10, Master_Product!$A$2:$D$6, 2, FALSE)</f>
        <v>USB-C Hub 7-in-1</v>
      </c>
      <c r="N10" s="6" t="str">
        <f>VLOOKUP(K10, Master_Product!$A$2:$D$6, 3, FALSE)</f>
        <v>Accessories</v>
      </c>
      <c r="O10" s="7">
        <f>VLOOKUP(K10, Master_Product!$A$2:$D$6, 4, FALSE)</f>
        <v>320000</v>
      </c>
      <c r="P10" s="10">
        <f>HLOOKUP(N10, Master_Tier_Discount!$B$1:$E$2, 2, FALSE)</f>
        <v>0.05</v>
      </c>
      <c r="Q10" s="15">
        <f t="shared" si="3"/>
        <v>37</v>
      </c>
      <c r="R10" s="10">
        <f t="shared" si="4"/>
        <v>0.1</v>
      </c>
      <c r="S10" s="5" t="str">
        <f t="shared" si="5"/>
        <v>VIP Tier</v>
      </c>
      <c r="T10" s="7">
        <f t="shared" si="6"/>
        <v>640000</v>
      </c>
      <c r="U10" s="7">
        <f t="shared" si="7"/>
        <v>64000</v>
      </c>
      <c r="V10" s="7">
        <f t="shared" si="8"/>
        <v>576000</v>
      </c>
    </row>
    <row r="11" spans="1:22" x14ac:dyDescent="0.25">
      <c r="A11" s="5" t="s">
        <v>106</v>
      </c>
      <c r="B11" s="6" t="s">
        <v>107</v>
      </c>
      <c r="C11" s="6" t="s">
        <v>108</v>
      </c>
      <c r="D11" s="5" t="s">
        <v>109</v>
      </c>
      <c r="E11" s="5" t="s">
        <v>110</v>
      </c>
      <c r="F11" s="5" t="s">
        <v>111</v>
      </c>
      <c r="G11" s="15">
        <v>1</v>
      </c>
      <c r="H11" s="5" t="s">
        <v>64</v>
      </c>
      <c r="I11" s="6" t="str">
        <f t="shared" si="0"/>
        <v>Linda Kusuma</v>
      </c>
      <c r="J11" s="6" t="str">
        <f t="shared" si="1"/>
        <v>linda.k@gmail.com</v>
      </c>
      <c r="K11" s="5" t="str">
        <f t="shared" si="2"/>
        <v>PRD-103</v>
      </c>
      <c r="L11" s="5" t="str">
        <f t="shared" si="9"/>
        <v>TRX-010-SHP-PRD-103</v>
      </c>
      <c r="M11" s="6" t="str">
        <f>VLOOKUP(K11, Master_Product!$A$2:$D$6, 2, FALSE)</f>
        <v>Mechanical Keyboard</v>
      </c>
      <c r="N11" s="6" t="str">
        <f>VLOOKUP(K11, Master_Product!$A$2:$D$6, 3, FALSE)</f>
        <v>Electronics</v>
      </c>
      <c r="O11" s="7">
        <f>VLOOKUP(K11, Master_Product!$A$2:$D$6, 4, FALSE)</f>
        <v>750000</v>
      </c>
      <c r="P11" s="10">
        <f>HLOOKUP(N11, Master_Tier_Discount!$B$1:$E$2, 2, FALSE)</f>
        <v>0.1</v>
      </c>
      <c r="Q11" s="15">
        <f t="shared" si="3"/>
        <v>3</v>
      </c>
      <c r="R11" s="10">
        <f t="shared" si="4"/>
        <v>0.1</v>
      </c>
      <c r="S11" s="5" t="str">
        <f t="shared" si="5"/>
        <v>Silver Tier</v>
      </c>
      <c r="T11" s="7">
        <f t="shared" si="6"/>
        <v>750000</v>
      </c>
      <c r="U11" s="7">
        <f t="shared" si="7"/>
        <v>75000</v>
      </c>
      <c r="V11" s="7">
        <f t="shared" si="8"/>
        <v>675000</v>
      </c>
    </row>
    <row r="12" spans="1:22" x14ac:dyDescent="0.25">
      <c r="A12" s="5" t="s">
        <v>112</v>
      </c>
      <c r="B12" s="6" t="s">
        <v>113</v>
      </c>
      <c r="C12" s="6" t="s">
        <v>114</v>
      </c>
      <c r="D12" s="5" t="s">
        <v>115</v>
      </c>
      <c r="E12" s="5" t="s">
        <v>116</v>
      </c>
      <c r="F12" s="5" t="s">
        <v>117</v>
      </c>
      <c r="G12" s="15">
        <v>3</v>
      </c>
      <c r="H12" s="5" t="s">
        <v>71</v>
      </c>
      <c r="I12" s="6" t="str">
        <f t="shared" si="0"/>
        <v>Fajar Sidik</v>
      </c>
      <c r="J12" s="6" t="str">
        <f t="shared" si="1"/>
        <v>fajar_s@gmail.com</v>
      </c>
      <c r="K12" s="5" t="str">
        <f t="shared" si="2"/>
        <v>PRD-102</v>
      </c>
      <c r="L12" s="5" t="str">
        <f t="shared" si="9"/>
        <v>TRX-011-SHP-PRD-102</v>
      </c>
      <c r="M12" s="6" t="str">
        <f>VLOOKUP(K12, Master_Product!$A$2:$D$6, 2, FALSE)</f>
        <v>Wireless Mouse</v>
      </c>
      <c r="N12" s="6" t="str">
        <f>VLOOKUP(K12, Master_Product!$A$2:$D$6, 3, FALSE)</f>
        <v>Electronics</v>
      </c>
      <c r="O12" s="7">
        <f>VLOOKUP(K12, Master_Product!$A$2:$D$6, 4, FALSE)</f>
        <v>250000</v>
      </c>
      <c r="P12" s="10">
        <f>HLOOKUP(N12, Master_Tier_Discount!$B$1:$E$2, 2, FALSE)</f>
        <v>0.1</v>
      </c>
      <c r="Q12" s="15">
        <f t="shared" si="3"/>
        <v>21</v>
      </c>
      <c r="R12" s="10">
        <f t="shared" si="4"/>
        <v>0.05</v>
      </c>
      <c r="S12" s="5" t="str">
        <f t="shared" si="5"/>
        <v>Gold Tier</v>
      </c>
      <c r="T12" s="7">
        <f t="shared" si="6"/>
        <v>750000</v>
      </c>
      <c r="U12" s="7">
        <f t="shared" si="7"/>
        <v>37500</v>
      </c>
      <c r="V12" s="7">
        <f t="shared" si="8"/>
        <v>712500</v>
      </c>
    </row>
    <row r="13" spans="1:22" x14ac:dyDescent="0.25">
      <c r="A13" s="5" t="s">
        <v>118</v>
      </c>
      <c r="B13" s="6" t="s">
        <v>119</v>
      </c>
      <c r="C13" s="6" t="s">
        <v>120</v>
      </c>
      <c r="D13" s="5" t="s">
        <v>121</v>
      </c>
      <c r="E13" s="5" t="s">
        <v>122</v>
      </c>
      <c r="F13" s="5" t="s">
        <v>123</v>
      </c>
      <c r="G13" s="15">
        <v>1</v>
      </c>
      <c r="H13" s="5" t="s">
        <v>57</v>
      </c>
      <c r="I13" s="6" t="str">
        <f t="shared" si="0"/>
        <v>Anisa Rahmawati</v>
      </c>
      <c r="J13" s="6" t="str">
        <f t="shared" si="1"/>
        <v>anisa.r@corp.co.id</v>
      </c>
      <c r="K13" s="5" t="str">
        <f t="shared" si="2"/>
        <v>PRD-105</v>
      </c>
      <c r="L13" s="5" t="str">
        <f t="shared" si="9"/>
        <v>TRX-012-SHP-PRD-105</v>
      </c>
      <c r="M13" s="6" t="str">
        <f>VLOOKUP(K13, Master_Product!$A$2:$D$6, 2, FALSE)</f>
        <v>Ergonomic Monitor Stand</v>
      </c>
      <c r="N13" s="6" t="str">
        <f>VLOOKUP(K13, Master_Product!$A$2:$D$6, 3, FALSE)</f>
        <v>Furniture</v>
      </c>
      <c r="O13" s="7">
        <f>VLOOKUP(K13, Master_Product!$A$2:$D$6, 4, FALSE)</f>
        <v>450000</v>
      </c>
      <c r="P13" s="10">
        <f>HLOOKUP(N13, Master_Tier_Discount!$B$1:$E$2, 2, FALSE)</f>
        <v>0.08</v>
      </c>
      <c r="Q13" s="15">
        <f t="shared" si="3"/>
        <v>47</v>
      </c>
      <c r="R13" s="10">
        <f t="shared" si="4"/>
        <v>0.1</v>
      </c>
      <c r="S13" s="5" t="str">
        <f t="shared" si="5"/>
        <v>VIP Tier</v>
      </c>
      <c r="T13" s="7">
        <f t="shared" si="6"/>
        <v>450000</v>
      </c>
      <c r="U13" s="7">
        <f t="shared" si="7"/>
        <v>45000</v>
      </c>
      <c r="V13" s="7">
        <f t="shared" si="8"/>
        <v>405000</v>
      </c>
    </row>
    <row r="14" spans="1:22" x14ac:dyDescent="0.25">
      <c r="A14" s="5" t="s">
        <v>124</v>
      </c>
      <c r="B14" s="6" t="s">
        <v>125</v>
      </c>
      <c r="C14" s="6" t="s">
        <v>126</v>
      </c>
      <c r="D14" s="5" t="s">
        <v>127</v>
      </c>
      <c r="E14" s="5" t="s">
        <v>128</v>
      </c>
      <c r="F14" s="5" t="s">
        <v>56</v>
      </c>
      <c r="G14" s="15">
        <v>2</v>
      </c>
      <c r="H14" s="5" t="s">
        <v>64</v>
      </c>
      <c r="I14" s="6" t="str">
        <f t="shared" si="0"/>
        <v>Rizki Pratama</v>
      </c>
      <c r="J14" s="6" t="str">
        <f t="shared" si="1"/>
        <v>rizki.p@yahoo.com</v>
      </c>
      <c r="K14" s="5" t="str">
        <f t="shared" si="2"/>
        <v>PRD-101</v>
      </c>
      <c r="L14" s="5" t="str">
        <f t="shared" si="9"/>
        <v>TRX-013-SHP-PRD-101</v>
      </c>
      <c r="M14" s="6" t="str">
        <f>VLOOKUP(K14, Master_Product!$A$2:$D$6, 2, FALSE)</f>
        <v>Laptop Sleeve 14"</v>
      </c>
      <c r="N14" s="6" t="str">
        <f>VLOOKUP(K14, Master_Product!$A$2:$D$6, 3, FALSE)</f>
        <v>Accessories</v>
      </c>
      <c r="O14" s="7">
        <f>VLOOKUP(K14, Master_Product!$A$2:$D$6, 4, FALSE)</f>
        <v>150000</v>
      </c>
      <c r="P14" s="10">
        <f>HLOOKUP(N14, Master_Tier_Discount!$B$1:$E$2, 2, FALSE)</f>
        <v>0.05</v>
      </c>
      <c r="Q14" s="15">
        <f t="shared" si="3"/>
        <v>14</v>
      </c>
      <c r="R14" s="10">
        <f t="shared" si="4"/>
        <v>0.05</v>
      </c>
      <c r="S14" s="5" t="str">
        <f t="shared" si="5"/>
        <v>Gold Tier</v>
      </c>
      <c r="T14" s="7">
        <f t="shared" si="6"/>
        <v>300000</v>
      </c>
      <c r="U14" s="7">
        <f t="shared" si="7"/>
        <v>15000</v>
      </c>
      <c r="V14" s="7">
        <f t="shared" si="8"/>
        <v>285000</v>
      </c>
    </row>
    <row r="15" spans="1:22" x14ac:dyDescent="0.25">
      <c r="A15" s="5" t="s">
        <v>129</v>
      </c>
      <c r="B15" s="6" t="s">
        <v>130</v>
      </c>
      <c r="C15" s="6" t="s">
        <v>131</v>
      </c>
      <c r="D15" s="5" t="s">
        <v>132</v>
      </c>
      <c r="E15" s="5" t="s">
        <v>133</v>
      </c>
      <c r="F15" s="5" t="s">
        <v>82</v>
      </c>
      <c r="G15" s="15">
        <v>4</v>
      </c>
      <c r="H15" s="5" t="s">
        <v>57</v>
      </c>
      <c r="I15" s="6" t="str">
        <f t="shared" si="0"/>
        <v>Dian Sastro</v>
      </c>
      <c r="J15" s="6" t="str">
        <f t="shared" si="1"/>
        <v>dian.s@gmail.com</v>
      </c>
      <c r="K15" s="5" t="str">
        <f t="shared" si="2"/>
        <v>PRD-104</v>
      </c>
      <c r="L15" s="5" t="str">
        <f t="shared" si="9"/>
        <v>TRX-014-SHP-PRD-104</v>
      </c>
      <c r="M15" s="6" t="str">
        <f>VLOOKUP(K15, Master_Product!$A$2:$D$6, 2, FALSE)</f>
        <v>USB-C Hub 7-in-1</v>
      </c>
      <c r="N15" s="6" t="str">
        <f>VLOOKUP(K15, Master_Product!$A$2:$D$6, 3, FALSE)</f>
        <v>Accessories</v>
      </c>
      <c r="O15" s="7">
        <f>VLOOKUP(K15, Master_Product!$A$2:$D$6, 4, FALSE)</f>
        <v>320000</v>
      </c>
      <c r="P15" s="10">
        <f>HLOOKUP(N15, Master_Tier_Discount!$B$1:$E$2, 2, FALSE)</f>
        <v>0.05</v>
      </c>
      <c r="Q15" s="15">
        <f t="shared" si="3"/>
        <v>29</v>
      </c>
      <c r="R15" s="10">
        <f t="shared" si="4"/>
        <v>0.1</v>
      </c>
      <c r="S15" s="5" t="str">
        <f t="shared" si="5"/>
        <v>VIP Tier</v>
      </c>
      <c r="T15" s="7">
        <f t="shared" si="6"/>
        <v>1280000</v>
      </c>
      <c r="U15" s="7">
        <f t="shared" si="7"/>
        <v>128000</v>
      </c>
      <c r="V15" s="7">
        <f t="shared" si="8"/>
        <v>1152000</v>
      </c>
    </row>
    <row r="16" spans="1:22" x14ac:dyDescent="0.25">
      <c r="A16" s="5" t="s">
        <v>134</v>
      </c>
      <c r="B16" s="6" t="s">
        <v>135</v>
      </c>
      <c r="C16" s="6" t="s">
        <v>136</v>
      </c>
      <c r="D16" s="5" t="s">
        <v>137</v>
      </c>
      <c r="E16" s="5" t="s">
        <v>138</v>
      </c>
      <c r="F16" s="5" t="s">
        <v>70</v>
      </c>
      <c r="G16" s="15">
        <v>2</v>
      </c>
      <c r="H16" s="5" t="s">
        <v>71</v>
      </c>
      <c r="I16" s="6" t="str">
        <f t="shared" si="0"/>
        <v>Bambang Pamungkas</v>
      </c>
      <c r="J16" s="6" t="str">
        <f t="shared" si="1"/>
        <v>bambang.p@outlook.com</v>
      </c>
      <c r="K16" s="5" t="str">
        <f t="shared" si="2"/>
        <v>PRD-103</v>
      </c>
      <c r="L16" s="5" t="str">
        <f t="shared" si="9"/>
        <v>TRX-015-SHP-PRD-103</v>
      </c>
      <c r="M16" s="6" t="str">
        <f>VLOOKUP(K16, Master_Product!$A$2:$D$6, 2, FALSE)</f>
        <v>Mechanical Keyboard</v>
      </c>
      <c r="N16" s="6" t="str">
        <f>VLOOKUP(K16, Master_Product!$A$2:$D$6, 3, FALSE)</f>
        <v>Electronics</v>
      </c>
      <c r="O16" s="7">
        <f>VLOOKUP(K16, Master_Product!$A$2:$D$6, 4, FALSE)</f>
        <v>750000</v>
      </c>
      <c r="P16" s="10">
        <f>HLOOKUP(N16, Master_Tier_Discount!$B$1:$E$2, 2, FALSE)</f>
        <v>0.1</v>
      </c>
      <c r="Q16" s="15">
        <f t="shared" si="3"/>
        <v>56</v>
      </c>
      <c r="R16" s="10">
        <f t="shared" si="4"/>
        <v>0.05</v>
      </c>
      <c r="S16" s="5" t="str">
        <f t="shared" si="5"/>
        <v>VIP Tier</v>
      </c>
      <c r="T16" s="7">
        <f t="shared" si="6"/>
        <v>1500000</v>
      </c>
      <c r="U16" s="7">
        <f t="shared" si="7"/>
        <v>75000</v>
      </c>
      <c r="V16" s="7">
        <f t="shared" si="8"/>
        <v>1425000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workbookViewId="0"/>
  </sheetViews>
  <sheetFormatPr defaultRowHeight="15" x14ac:dyDescent="0.25"/>
  <cols>
    <col min="1" max="1" width="38" customWidth="1"/>
    <col min="2" max="2" width="30" customWidth="1"/>
    <col min="3" max="3" width="22" customWidth="1"/>
  </cols>
  <sheetData>
    <row r="1" spans="1:3" ht="20.25" x14ac:dyDescent="0.35">
      <c r="A1" s="16" t="s">
        <v>139</v>
      </c>
    </row>
    <row r="3" spans="1:3" ht="16.5" x14ac:dyDescent="0.25">
      <c r="A3" s="11" t="s">
        <v>140</v>
      </c>
      <c r="B3" s="11" t="s">
        <v>141</v>
      </c>
      <c r="C3" s="11" t="s">
        <v>142</v>
      </c>
    </row>
    <row r="4" spans="1:3" x14ac:dyDescent="0.25">
      <c r="A4" s="17" t="s">
        <v>143</v>
      </c>
      <c r="B4" s="7">
        <f>SUM(Raw_Transactions!T2:T16)</f>
        <v>13130000</v>
      </c>
      <c r="C4" s="5" t="s">
        <v>144</v>
      </c>
    </row>
    <row r="5" spans="1:3" x14ac:dyDescent="0.25">
      <c r="A5" s="17" t="s">
        <v>145</v>
      </c>
      <c r="B5" s="7">
        <f>SUM(Raw_Transactions!V2:V16)</f>
        <v>12232500</v>
      </c>
      <c r="C5" s="5" t="s">
        <v>144</v>
      </c>
    </row>
    <row r="6" spans="1:3" x14ac:dyDescent="0.25">
      <c r="A6" s="17" t="s">
        <v>146</v>
      </c>
      <c r="B6" s="7">
        <f>SUM(Raw_Transactions!U2:U16)</f>
        <v>897500</v>
      </c>
      <c r="C6" s="5" t="s">
        <v>144</v>
      </c>
    </row>
    <row r="7" spans="1:3" x14ac:dyDescent="0.25">
      <c r="A7" s="17" t="s">
        <v>147</v>
      </c>
      <c r="B7" s="18">
        <f>COUNTA(Raw_Transactions!A2:A16)</f>
        <v>15</v>
      </c>
      <c r="C7" s="5" t="s">
        <v>148</v>
      </c>
    </row>
    <row r="8" spans="1:3" x14ac:dyDescent="0.25">
      <c r="A8" s="17" t="s">
        <v>149</v>
      </c>
      <c r="B8" s="18">
        <f>SUM(Raw_Transactions!G2:G16)</f>
        <v>34</v>
      </c>
      <c r="C8" s="5" t="s">
        <v>144</v>
      </c>
    </row>
    <row r="9" spans="1:3" x14ac:dyDescent="0.25">
      <c r="A9" s="17" t="s">
        <v>150</v>
      </c>
      <c r="B9" s="7">
        <f>AVERAGE(Raw_Transactions!T2:T16)</f>
        <v>875333.33333333337</v>
      </c>
      <c r="C9" s="5" t="s">
        <v>151</v>
      </c>
    </row>
    <row r="10" spans="1:3" x14ac:dyDescent="0.25">
      <c r="A10" s="17" t="s">
        <v>152</v>
      </c>
      <c r="B10" s="7">
        <f>AVERAGE(Raw_Transactions!V2:V16)</f>
        <v>815500</v>
      </c>
      <c r="C10" s="5" t="s">
        <v>151</v>
      </c>
    </row>
    <row r="11" spans="1:3" x14ac:dyDescent="0.25">
      <c r="A11" s="17" t="s">
        <v>153</v>
      </c>
      <c r="B11" s="7">
        <f>MAX(Raw_Transactions!T2:T16)</f>
        <v>3750000</v>
      </c>
      <c r="C11" s="5" t="s">
        <v>154</v>
      </c>
    </row>
    <row r="12" spans="1:3" x14ac:dyDescent="0.25">
      <c r="A12" s="17" t="s">
        <v>155</v>
      </c>
      <c r="B12" s="7">
        <f>MIN(Raw_Transactions!T2:T16)</f>
        <v>150000</v>
      </c>
      <c r="C12" s="5" t="s">
        <v>156</v>
      </c>
    </row>
    <row r="13" spans="1:3" x14ac:dyDescent="0.25">
      <c r="A13" s="17" t="s">
        <v>157</v>
      </c>
      <c r="B13" s="19">
        <f>AVERAGE(Raw_Transactions!Q2:Q16)</f>
        <v>25.2</v>
      </c>
      <c r="C13" s="5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 &amp; Info</vt:lpstr>
      <vt:lpstr>Master_Product</vt:lpstr>
      <vt:lpstr>Master_Tier_Discount</vt:lpstr>
      <vt:lpstr>Raw_Transactions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2026-08-18T13:06:36Z</dcterms:created>
  <dcterms:modified xsi:type="dcterms:W3CDTF">2026-08-21T08:40:35Z</dcterms:modified>
</cp:coreProperties>
</file>