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sus\Documents\Project\Data-Analyst\Analysist or Reporting With Excel\"/>
    </mc:Choice>
  </mc:AlternateContent>
  <xr:revisionPtr revIDLastSave="0" documentId="13_ncr:1_{BA37D76B-8E00-448C-B307-C9EF55901031}" xr6:coauthVersionLast="47" xr6:coauthVersionMax="47" xr10:uidLastSave="{00000000-0000-0000-0000-000000000000}"/>
  <bookViews>
    <workbookView xWindow="-120" yWindow="-120" windowWidth="20730" windowHeight="11160" activeTab="4" xr2:uid="{00000000-000D-0000-FFFF-FFFF00000000}"/>
  </bookViews>
  <sheets>
    <sheet name="1. Panduan" sheetId="1" r:id="rId1"/>
    <sheet name="2. Latihan VLOOKUP" sheetId="2" r:id="rId2"/>
    <sheet name="3. Latihan HLOOKUP" sheetId="3" r:id="rId3"/>
    <sheet name="4. Latihan XLOOKUP" sheetId="4" r:id="rId4"/>
    <sheet name="Sheet1" sheetId="5" r:id="rId5"/>
    <sheet name="Sheet2" sheetId="6" r:id="rId6"/>
  </sheets>
  <calcPr calcId="191029"/>
  <pivotCaches>
    <pivotCache cacheId="7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4" l="1"/>
  <c r="H10" i="4" s="1"/>
  <c r="G12" i="4"/>
  <c r="H12" i="4" s="1"/>
  <c r="G11" i="4"/>
  <c r="H11" i="4" s="1"/>
  <c r="E15" i="3"/>
  <c r="E16" i="3"/>
  <c r="E14" i="3"/>
  <c r="D15" i="3"/>
  <c r="D16" i="3"/>
  <c r="D14" i="3"/>
  <c r="I9" i="2"/>
  <c r="I10" i="2"/>
  <c r="I8" i="2"/>
  <c r="H10" i="2"/>
  <c r="H9" i="2"/>
  <c r="H8" i="2"/>
</calcChain>
</file>

<file path=xl/sharedStrings.xml><?xml version="1.0" encoding="utf-8"?>
<sst xmlns="http://schemas.openxmlformats.org/spreadsheetml/2006/main" count="266" uniqueCount="100">
  <si>
    <t>PANDUAN LATIHAN RUMUS LOOKUP EXCEL</t>
  </si>
  <si>
    <t>Selamat datang! File ini dirancang untuk melatih kemampuan Anda menggunakan VLOOKUP, HLOOKUP, dan XLOOKUP.</t>
  </si>
  <si>
    <t>Silakan ikuti instruksi yang ada di setiap sheet.</t>
  </si>
  <si>
    <t>1. VLOOKUP (Vertical Lookup)</t>
  </si>
  <si>
    <t>Digunakan untuk mencari data secara vertikal. Syarat utamanya adalah nilai yang dicari (lookup_value) HARUS berada di kolom paling kiri dari tabel referensi.</t>
  </si>
  <si>
    <t>2. HLOOKUP (Horizontal Lookup)</t>
  </si>
  <si>
    <t>Sama seperti VLOOKUP, namun digunakan untuk tabel yang bentuknya horizontal (judul tabel ada di sebelah kiri, data membentang ke kanan).</t>
  </si>
  <si>
    <t>3. XLOOKUP (Penerus VLOOKUP/HLOOKUP)</t>
  </si>
  <si>
    <t>Rumus modern yang jauh lebih fleksibel. Bisa mencari data ke kiri (tidak harus di kolom pertama), tidak perlu menghitung urutan kolom, dan memiliki penanganan error bawaan (if_not_found).</t>
  </si>
  <si>
    <t>LATIHAN VLOOKUP</t>
  </si>
  <si>
    <t>Tugas: Isilah kolom 'Nama Karyawan' dan 'Gaji Pokok' pada Tabel Soal menggunakan VLOOKUP berdasarkan 'ID Karyawan'.</t>
  </si>
  <si>
    <t>Tabel Referensi Data Karyawan</t>
  </si>
  <si>
    <t>Tabel Soal (Kerjakan Di Sini)</t>
  </si>
  <si>
    <t>ID Karyawan</t>
  </si>
  <si>
    <t>Nama Karyawan</t>
  </si>
  <si>
    <t>Departemen</t>
  </si>
  <si>
    <t>Gaji Pokok</t>
  </si>
  <si>
    <t>EMP-001</t>
  </si>
  <si>
    <t>Andi Syahputra</t>
  </si>
  <si>
    <t>IT</t>
  </si>
  <si>
    <t>EMP-003</t>
  </si>
  <si>
    <t>EMP-002</t>
  </si>
  <si>
    <t>Budi Santoso</t>
  </si>
  <si>
    <t>Finance</t>
  </si>
  <si>
    <t>EMP-005</t>
  </si>
  <si>
    <t>Citra Kirana</t>
  </si>
  <si>
    <t>HR</t>
  </si>
  <si>
    <t>EMP-004</t>
  </si>
  <si>
    <t>Dewi Lestari</t>
  </si>
  <si>
    <t>Marketing</t>
  </si>
  <si>
    <t>Eko Prasetyo</t>
  </si>
  <si>
    <t>Sales</t>
  </si>
  <si>
    <t>LATIHAN HLOOKUP</t>
  </si>
  <si>
    <t>Tugas: Isilah kolom 'Jenis Layanan' dan 'Biaya Pengiriman' pada Tabel Soal menggunakan rumus HLOOKUP berdasarkan 'Kode Paket'.</t>
  </si>
  <si>
    <t>Tabel Referensi Kurir (Horizontal)</t>
  </si>
  <si>
    <t>Kode Paket</t>
  </si>
  <si>
    <t>PKT-A</t>
  </si>
  <si>
    <t>PKT-B</t>
  </si>
  <si>
    <t>PKT-C</t>
  </si>
  <si>
    <t>PKT-D</t>
  </si>
  <si>
    <t>Jenis Layanan</t>
  </si>
  <si>
    <t>Ekonomis</t>
  </si>
  <si>
    <t>Reguler</t>
  </si>
  <si>
    <t>Express</t>
  </si>
  <si>
    <t>Same-Day</t>
  </si>
  <si>
    <t>Biaya</t>
  </si>
  <si>
    <t>No</t>
  </si>
  <si>
    <t>Biaya Pengiriman</t>
  </si>
  <si>
    <t>LATIHAN XLOOKUP</t>
  </si>
  <si>
    <t>Tugas XLOOKUP:
1. Cari 'Nama Produk' (kiri) berdasarkan 'Kode Produk' (Pencarian ke kiri / Reverse Lookup).
2. Cari 'Harga' berdasarkan 'Kode Produk', dan gunakan argumen 'if_not_found' pada XLOOKUP untuk menampilkan teks 'Produk Tidak Ditemukan' jika kode salah.</t>
  </si>
  <si>
    <t>Tabel Referensi Inventaris</t>
  </si>
  <si>
    <t>Nama Produk</t>
  </si>
  <si>
    <t>Kode Produk</t>
  </si>
  <si>
    <t>Harga</t>
  </si>
  <si>
    <t>Nama Produk (Kiri)</t>
  </si>
  <si>
    <t>Harga (Gunakan if_not_found)</t>
  </si>
  <si>
    <t>Laptop ASUS ROG</t>
  </si>
  <si>
    <t>PRD-101</t>
  </si>
  <si>
    <t>PRD-104</t>
  </si>
  <si>
    <t>Mouse Logitech</t>
  </si>
  <si>
    <t>PRD-102</t>
  </si>
  <si>
    <t>Keyboard Mechanical</t>
  </si>
  <si>
    <t>PRD-103</t>
  </si>
  <si>
    <t>PRD-999</t>
  </si>
  <si>
    <t>Monitor Samsung 24</t>
  </si>
  <si>
    <t>Year</t>
  </si>
  <si>
    <t>Category</t>
  </si>
  <si>
    <t>Product</t>
  </si>
  <si>
    <t>Rating</t>
  </si>
  <si>
    <t>Components</t>
  </si>
  <si>
    <t>Chains</t>
  </si>
  <si>
    <t>Clothing</t>
  </si>
  <si>
    <t>Socks</t>
  </si>
  <si>
    <t>Bib-Shorts</t>
  </si>
  <si>
    <t>Shorts</t>
  </si>
  <si>
    <t>Tights</t>
  </si>
  <si>
    <t>Handlebars</t>
  </si>
  <si>
    <t>Brakes</t>
  </si>
  <si>
    <t>Bikes</t>
  </si>
  <si>
    <t>Mountain Bikes</t>
  </si>
  <si>
    <t>Accessories</t>
  </si>
  <si>
    <t>Helmets</t>
  </si>
  <si>
    <t>Lights</t>
  </si>
  <si>
    <t>Locks</t>
  </si>
  <si>
    <t>Bottom Brackets</t>
  </si>
  <si>
    <t>Jerseys</t>
  </si>
  <si>
    <t>Road Bikes</t>
  </si>
  <si>
    <t>Tires and Tubes</t>
  </si>
  <si>
    <t>Cargo Bike</t>
  </si>
  <si>
    <t>Bike Racks</t>
  </si>
  <si>
    <t>Caps</t>
  </si>
  <si>
    <t>Pumps</t>
  </si>
  <si>
    <t>Wheels</t>
  </si>
  <si>
    <t>Touring Bikes</t>
  </si>
  <si>
    <t>Vests</t>
  </si>
  <si>
    <t>Pedals</t>
  </si>
  <si>
    <t>Gloves</t>
  </si>
  <si>
    <t>Saddles</t>
  </si>
  <si>
    <t>Sum of Sales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</si>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</sst>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p &quot;#,##0"/>
    <numFmt numFmtId="165" formatCode="_(&quot;Rp&quot;* #,##0_);_(&quot;Rp&quot;* \(#,##0\);_(&quot;Rp&quot;* &quot;-&quot;??_);_(@_)"/>
    <numFmt numFmtId="166" formatCode="&quot;Rp&quot;#,##0"/>
  </numFmts>
  <fonts count="5" x14ac:knownFonts="1">
    <font>
      <sz val="11"/>
      <color theme="1"/>
      <name val="Calibri"/>
      <family val="2"/>
      <scheme val="minor"/>
    </font>
    <font>
      <b/>
      <sz val="16"/>
      <color rgb="FF1F4E78"/>
      <name val="Calibri"/>
    </font>
    <font>
      <b/>
      <sz val="12"/>
      <color rgb="FF2F75B5"/>
      <name val="Calibri"/>
    </font>
    <font>
      <b/>
      <sz val="11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2F75B5"/>
        <bgColor rgb="FF2F75B5"/>
      </patternFill>
    </fill>
    <fill>
      <patternFill patternType="solid">
        <fgColor rgb="FFFFF2CC"/>
        <bgColor rgb="FFFFF2CC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 vertical="top" wrapText="1"/>
    </xf>
    <xf numFmtId="0" fontId="3" fillId="0" borderId="0" xfId="0" applyFont="1"/>
    <xf numFmtId="0" fontId="4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0" fillId="0" borderId="0" xfId="0"/>
    <xf numFmtId="0" fontId="3" fillId="2" borderId="0" xfId="0" applyFont="1" applyFill="1"/>
    <xf numFmtId="0" fontId="3" fillId="2" borderId="0" xfId="0" applyFont="1" applyFill="1" applyAlignment="1">
      <alignment horizontal="left" vertical="top" wrapText="1"/>
    </xf>
    <xf numFmtId="0" fontId="0" fillId="0" borderId="0" xfId="0" applyNumberFormat="1"/>
    <xf numFmtId="165" fontId="0" fillId="0" borderId="0" xfId="0" applyNumberFormat="1"/>
    <xf numFmtId="9" fontId="0" fillId="0" borderId="0" xfId="0" applyNumberFormat="1"/>
    <xf numFmtId="0" fontId="0" fillId="0" borderId="0" xfId="0" pivotButton="1"/>
    <xf numFmtId="166" fontId="0" fillId="4" borderId="1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166" fontId="0" fillId="4" borderId="3" xfId="0" applyNumberForma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0" fillId="4" borderId="8" xfId="0" applyFill="1" applyBorder="1" applyAlignment="1">
      <alignment horizontal="center" vertical="center"/>
    </xf>
    <xf numFmtId="166" fontId="0" fillId="4" borderId="9" xfId="0" applyNumberFormat="1" applyFill="1" applyBorder="1" applyAlignment="1">
      <alignment horizontal="center" vertical="center"/>
    </xf>
    <xf numFmtId="164" fontId="0" fillId="0" borderId="3" xfId="0" applyNumberFormat="1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164" fontId="0" fillId="0" borderId="9" xfId="0" applyNumberFormat="1" applyBorder="1" applyAlignment="1">
      <alignment horizontal="left" vertical="center"/>
    </xf>
  </cellXfs>
  <cellStyles count="1">
    <cellStyle name="Normal" xfId="0" builtinId="0"/>
  </cellStyles>
  <dxfs count="2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2F75B5"/>
          <bgColor rgb="FF2F75B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numFmt numFmtId="164" formatCode="&quot;Rp &quot;#,##0"/>
      <alignment horizontal="left" vertical="center" textRotation="0" wrapText="0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2F75B5"/>
          <bgColor rgb="FF2F75B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numFmt numFmtId="166" formatCode="&quot;Rp&quot;#,##0"/>
      <fill>
        <patternFill patternType="solid">
          <fgColor rgb="FFFFF2CC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solid">
          <fgColor rgb="FFFFF2CC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numFmt numFmtId="0" formatCode="General"/>
    </dxf>
    <dxf>
      <numFmt numFmtId="13" formatCode="0%"/>
    </dxf>
    <dxf>
      <numFmt numFmtId="165" formatCode="_(&quot;Rp&quot;* #,##0_);_(&quot;Rp&quot;* \(#,##0\);_(&quot;Rp&quot;* &quot;-&quot;??_);_(@_)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248.991838541668" createdVersion="8" refreshedVersion="8" minRefreshableVersion="3" recordCount="75" xr:uid="{DB067FD9-570A-43C3-B90E-B926C9A6ADB5}">
  <cacheSource type="worksheet">
    <worksheetSource name="Table1"/>
  </cacheSource>
  <cacheFields count="5">
    <cacheField name="Year" numFmtId="0">
      <sharedItems containsSemiMixedTypes="0" containsString="0" containsNumber="1" containsInteger="1" minValue="2015" maxValue="2017" count="3">
        <n v="2017"/>
        <n v="2015"/>
        <n v="2016"/>
      </sharedItems>
    </cacheField>
    <cacheField name="Category" numFmtId="0">
      <sharedItems/>
    </cacheField>
    <cacheField name="Product" numFmtId="0">
      <sharedItems count="25">
        <s v="Chains"/>
        <s v="Socks"/>
        <s v="Bib-Shorts"/>
        <s v="Shorts"/>
        <s v="Tights"/>
        <s v="Handlebars"/>
        <s v="Brakes"/>
        <s v="Mountain Bikes"/>
        <s v="Helmets"/>
        <s v="Lights"/>
        <s v="Locks"/>
        <s v="Bottom Brackets"/>
        <s v="Jerseys"/>
        <s v="Road Bikes"/>
        <s v="Tires and Tubes"/>
        <s v="Cargo Bike"/>
        <s v="Bike Racks"/>
        <s v="Caps"/>
        <s v="Pumps"/>
        <s v="Wheels"/>
        <s v="Touring Bikes"/>
        <s v="Vests"/>
        <s v="Pedals"/>
        <s v="Gloves"/>
        <s v="Saddles"/>
      </sharedItems>
    </cacheField>
    <cacheField name="Sales" numFmtId="165">
      <sharedItems containsSemiMixedTypes="0" containsString="0" containsNumber="1" containsInteger="1" minValue="300" maxValue="63700"/>
    </cacheField>
    <cacheField name="Rating" numFmtId="9">
      <sharedItems containsSemiMixedTypes="0" containsString="0" containsNumber="1" minValue="0.05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">
  <r>
    <x v="0"/>
    <s v="Components"/>
    <x v="0"/>
    <n v="20000"/>
    <n v="0.75"/>
  </r>
  <r>
    <x v="1"/>
    <s v="Clothing"/>
    <x v="1"/>
    <n v="3700"/>
    <n v="0.22"/>
  </r>
  <r>
    <x v="0"/>
    <s v="Clothing"/>
    <x v="2"/>
    <n v="4000"/>
    <n v="0.22"/>
  </r>
  <r>
    <x v="1"/>
    <s v="Clothing"/>
    <x v="3"/>
    <n v="13300"/>
    <n v="0.56000000000000005"/>
  </r>
  <r>
    <x v="0"/>
    <s v="Clothing"/>
    <x v="4"/>
    <n v="36000"/>
    <n v="1"/>
  </r>
  <r>
    <x v="1"/>
    <s v="Components"/>
    <x v="5"/>
    <n v="2300"/>
    <n v="0.35"/>
  </r>
  <r>
    <x v="2"/>
    <s v="Clothing"/>
    <x v="1"/>
    <n v="2300"/>
    <n v="0.28000000000000003"/>
  </r>
  <r>
    <x v="2"/>
    <s v="Components"/>
    <x v="6"/>
    <n v="3400"/>
    <n v="0.36"/>
  </r>
  <r>
    <x v="2"/>
    <s v="Bikes"/>
    <x v="7"/>
    <n v="6300"/>
    <n v="0.4"/>
  </r>
  <r>
    <x v="0"/>
    <s v="Components"/>
    <x v="6"/>
    <n v="5400"/>
    <n v="0.38"/>
  </r>
  <r>
    <x v="2"/>
    <s v="Accessories"/>
    <x v="8"/>
    <n v="17000"/>
    <n v="0.9"/>
  </r>
  <r>
    <x v="2"/>
    <s v="Accessories"/>
    <x v="9"/>
    <n v="21600"/>
    <n v="0.9"/>
  </r>
  <r>
    <x v="2"/>
    <s v="Accessories"/>
    <x v="10"/>
    <n v="29800"/>
    <n v="0.9"/>
  </r>
  <r>
    <x v="2"/>
    <s v="Components"/>
    <x v="11"/>
    <n v="1000"/>
    <n v="0.23"/>
  </r>
  <r>
    <x v="1"/>
    <s v="Clothing"/>
    <x v="12"/>
    <n v="6700"/>
    <n v="0.05"/>
  </r>
  <r>
    <x v="0"/>
    <s v="Components"/>
    <x v="11"/>
    <n v="600"/>
    <n v="0.27"/>
  </r>
  <r>
    <x v="1"/>
    <s v="Bikes"/>
    <x v="13"/>
    <n v="3500"/>
    <n v="0.5"/>
  </r>
  <r>
    <x v="0"/>
    <s v="Clothing"/>
    <x v="12"/>
    <n v="7500"/>
    <n v="0.4"/>
  </r>
  <r>
    <x v="0"/>
    <s v="Accessories"/>
    <x v="14"/>
    <n v="63700"/>
    <n v="0.9"/>
  </r>
  <r>
    <x v="0"/>
    <s v="Bikes"/>
    <x v="15"/>
    <n v="9300"/>
    <n v="0.6"/>
  </r>
  <r>
    <x v="0"/>
    <s v="Bikes"/>
    <x v="7"/>
    <n v="8500"/>
    <n v="0.46"/>
  </r>
  <r>
    <x v="0"/>
    <s v="Accessories"/>
    <x v="16"/>
    <n v="33700"/>
    <n v="0.92"/>
  </r>
  <r>
    <x v="0"/>
    <s v="Clothing"/>
    <x v="17"/>
    <n v="600"/>
    <n v="0.15"/>
  </r>
  <r>
    <x v="1"/>
    <s v="Bikes"/>
    <x v="7"/>
    <n v="3100"/>
    <n v="0.35"/>
  </r>
  <r>
    <x v="0"/>
    <s v="Accessories"/>
    <x v="18"/>
    <n v="30700"/>
    <n v="0.95"/>
  </r>
  <r>
    <x v="2"/>
    <s v="Accessories"/>
    <x v="18"/>
    <n v="16400"/>
    <n v="0.8"/>
  </r>
  <r>
    <x v="2"/>
    <s v="Accessories"/>
    <x v="16"/>
    <n v="22100"/>
    <n v="0.9"/>
  </r>
  <r>
    <x v="0"/>
    <s v="Accessories"/>
    <x v="8"/>
    <n v="34000"/>
    <n v="0.95"/>
  </r>
  <r>
    <x v="1"/>
    <s v="Accessories"/>
    <x v="18"/>
    <n v="700"/>
    <n v="0.1"/>
  </r>
  <r>
    <x v="1"/>
    <s v="Clothing"/>
    <x v="4"/>
    <n v="3300"/>
    <n v="0.3"/>
  </r>
  <r>
    <x v="0"/>
    <s v="Bikes"/>
    <x v="13"/>
    <n v="16900"/>
    <n v="0.65"/>
  </r>
  <r>
    <x v="0"/>
    <s v="Accessories"/>
    <x v="9"/>
    <n v="36700"/>
    <n v="0.9"/>
  </r>
  <r>
    <x v="1"/>
    <s v="Accessories"/>
    <x v="8"/>
    <n v="8300"/>
    <n v="0.99"/>
  </r>
  <r>
    <x v="2"/>
    <s v="Clothing"/>
    <x v="2"/>
    <n v="2900"/>
    <n v="0.36"/>
  </r>
  <r>
    <x v="1"/>
    <s v="Accessories"/>
    <x v="14"/>
    <n v="8700"/>
    <n v="0.9"/>
  </r>
  <r>
    <x v="0"/>
    <s v="Accessories"/>
    <x v="10"/>
    <n v="35000"/>
    <n v="1"/>
  </r>
  <r>
    <x v="2"/>
    <s v="Bikes"/>
    <x v="13"/>
    <n v="8300"/>
    <n v="0.46"/>
  </r>
  <r>
    <x v="2"/>
    <s v="Components"/>
    <x v="19"/>
    <n v="16700"/>
    <n v="0.75"/>
  </r>
  <r>
    <x v="2"/>
    <s v="Bikes"/>
    <x v="20"/>
    <n v="1800"/>
    <n v="0.15"/>
  </r>
  <r>
    <x v="0"/>
    <s v="Clothing"/>
    <x v="1"/>
    <n v="3700"/>
    <n v="0.48"/>
  </r>
  <r>
    <x v="2"/>
    <s v="Clothing"/>
    <x v="3"/>
    <n v="12000"/>
    <n v="0.66"/>
  </r>
  <r>
    <x v="1"/>
    <s v="Accessories"/>
    <x v="10"/>
    <n v="10000"/>
    <n v="0.85"/>
  </r>
  <r>
    <x v="1"/>
    <s v="Components"/>
    <x v="11"/>
    <n v="500"/>
    <n v="0.35"/>
  </r>
  <r>
    <x v="0"/>
    <s v="Components"/>
    <x v="19"/>
    <n v="21800"/>
    <n v="0.96"/>
  </r>
  <r>
    <x v="2"/>
    <s v="Components"/>
    <x v="0"/>
    <n v="16400"/>
    <n v="0.7"/>
  </r>
  <r>
    <x v="2"/>
    <s v="Clothing"/>
    <x v="17"/>
    <n v="400"/>
    <n v="0.2"/>
  </r>
  <r>
    <x v="1"/>
    <s v="Clothing"/>
    <x v="21"/>
    <n v="3300"/>
    <n v="0.36"/>
  </r>
  <r>
    <x v="0"/>
    <s v="Components"/>
    <x v="5"/>
    <n v="5000"/>
    <n v="0.35"/>
  </r>
  <r>
    <x v="2"/>
    <s v="Components"/>
    <x v="5"/>
    <n v="3300"/>
    <n v="0.38"/>
  </r>
  <r>
    <x v="1"/>
    <s v="Components"/>
    <x v="22"/>
    <n v="800"/>
    <n v="0.36"/>
  </r>
  <r>
    <x v="2"/>
    <s v="Clothing"/>
    <x v="23"/>
    <n v="15600"/>
    <n v="0.65"/>
  </r>
  <r>
    <x v="2"/>
    <s v="Components"/>
    <x v="22"/>
    <n v="1500"/>
    <n v="0.17"/>
  </r>
  <r>
    <x v="0"/>
    <s v="Components"/>
    <x v="22"/>
    <n v="6200"/>
    <n v="0.38"/>
  </r>
  <r>
    <x v="0"/>
    <s v="Clothing"/>
    <x v="23"/>
    <n v="27000"/>
    <n v="0.88"/>
  </r>
  <r>
    <x v="2"/>
    <s v="Components"/>
    <x v="24"/>
    <n v="2800"/>
    <n v="0.38"/>
  </r>
  <r>
    <x v="2"/>
    <s v="Bikes"/>
    <x v="15"/>
    <n v="6700"/>
    <n v="0.46"/>
  </r>
  <r>
    <x v="1"/>
    <s v="Clothing"/>
    <x v="23"/>
    <n v="13300"/>
    <n v="0.5"/>
  </r>
  <r>
    <x v="2"/>
    <s v="Accessories"/>
    <x v="14"/>
    <n v="13800"/>
    <n v="0.85"/>
  </r>
  <r>
    <x v="0"/>
    <s v="Clothing"/>
    <x v="21"/>
    <n v="2400"/>
    <n v="0.35"/>
  </r>
  <r>
    <x v="1"/>
    <s v="Accessories"/>
    <x v="16"/>
    <n v="300"/>
    <n v="0.05"/>
  </r>
  <r>
    <x v="1"/>
    <s v="Components"/>
    <x v="24"/>
    <n v="2100"/>
    <n v="0.49"/>
  </r>
  <r>
    <x v="1"/>
    <s v="Components"/>
    <x v="6"/>
    <n v="2300"/>
    <n v="0.34"/>
  </r>
  <r>
    <x v="1"/>
    <s v="Components"/>
    <x v="19"/>
    <n v="10000"/>
    <n v="0.66"/>
  </r>
  <r>
    <x v="1"/>
    <s v="Bikes"/>
    <x v="20"/>
    <n v="500"/>
    <n v="0.22"/>
  </r>
  <r>
    <x v="2"/>
    <s v="Clothing"/>
    <x v="12"/>
    <n v="3800"/>
    <n v="0.48"/>
  </r>
  <r>
    <x v="1"/>
    <s v="Bikes"/>
    <x v="15"/>
    <n v="3200"/>
    <n v="0.48"/>
  </r>
  <r>
    <x v="0"/>
    <s v="Clothing"/>
    <x v="3"/>
    <n v="23000"/>
    <n v="1"/>
  </r>
  <r>
    <x v="1"/>
    <s v="Clothing"/>
    <x v="2"/>
    <n v="700"/>
    <n v="0.28000000000000003"/>
  </r>
  <r>
    <x v="1"/>
    <s v="Accessories"/>
    <x v="9"/>
    <n v="1300"/>
    <n v="0.9"/>
  </r>
  <r>
    <x v="2"/>
    <s v="Clothing"/>
    <x v="21"/>
    <n v="1300"/>
    <n v="0.25"/>
  </r>
  <r>
    <x v="2"/>
    <s v="Clothing"/>
    <x v="4"/>
    <n v="22100"/>
    <n v="0.99"/>
  </r>
  <r>
    <x v="0"/>
    <s v="Components"/>
    <x v="24"/>
    <n v="3100"/>
    <n v="0.42"/>
  </r>
  <r>
    <x v="1"/>
    <s v="Clothing"/>
    <x v="17"/>
    <n v="500"/>
    <n v="0.5"/>
  </r>
  <r>
    <x v="0"/>
    <s v="Bikes"/>
    <x v="20"/>
    <n v="3100"/>
    <n v="0.22"/>
  </r>
  <r>
    <x v="1"/>
    <s v="Components"/>
    <x v="0"/>
    <n v="8700"/>
    <n v="0.9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BCAC92-4866-4BCB-BF1F-35E1E35D62B5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E29" firstHeaderRow="1" firstDataRow="2" firstDataCol="1"/>
  <pivotFields count="5">
    <pivotField axis="axisCol" compact="0" outline="0" showAll="0">
      <items count="4">
        <item x="1"/>
        <item x="2"/>
        <item x="0"/>
        <item t="default"/>
      </items>
    </pivotField>
    <pivotField compact="0" outline="0" showAll="0"/>
    <pivotField axis="axisRow" compact="0" outline="0" showAll="0" sortType="descending">
      <items count="26">
        <item x="2"/>
        <item x="16"/>
        <item x="11"/>
        <item x="6"/>
        <item x="17"/>
        <item x="15"/>
        <item x="0"/>
        <item x="23"/>
        <item x="5"/>
        <item x="8"/>
        <item x="12"/>
        <item x="9"/>
        <item x="10"/>
        <item x="7"/>
        <item x="22"/>
        <item x="18"/>
        <item x="13"/>
        <item x="24"/>
        <item x="3"/>
        <item x="1"/>
        <item x="4"/>
        <item x="14"/>
        <item x="20"/>
        <item x="21"/>
        <item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numFmtId="165" outline="0" showAll="0"/>
    <pivotField compact="0" numFmtId="9" outline="0" showAll="0"/>
  </pivotFields>
  <rowFields count="1">
    <field x="2"/>
  </rowFields>
  <rowItems count="26">
    <i>
      <x v="21"/>
    </i>
    <i>
      <x v="12"/>
    </i>
    <i>
      <x v="20"/>
    </i>
    <i>
      <x v="11"/>
    </i>
    <i>
      <x v="9"/>
    </i>
    <i>
      <x v="1"/>
    </i>
    <i>
      <x v="7"/>
    </i>
    <i>
      <x v="24"/>
    </i>
    <i>
      <x v="18"/>
    </i>
    <i>
      <x v="15"/>
    </i>
    <i>
      <x v="6"/>
    </i>
    <i>
      <x v="16"/>
    </i>
    <i>
      <x v="5"/>
    </i>
    <i>
      <x v="10"/>
    </i>
    <i>
      <x v="13"/>
    </i>
    <i>
      <x v="3"/>
    </i>
    <i>
      <x v="8"/>
    </i>
    <i>
      <x v="19"/>
    </i>
    <i>
      <x v="14"/>
    </i>
    <i>
      <x v="17"/>
    </i>
    <i>
      <x/>
    </i>
    <i>
      <x v="23"/>
    </i>
    <i>
      <x v="22"/>
    </i>
    <i>
      <x v="2"/>
    </i>
    <i>
      <x v="4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Sum of Sales" fld="3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51CDA94-771B-48CB-994D-A041EA50E854}" name="Table2" displayName="Table2" ref="F9:H12" totalsRowShown="0" headerRowDxfId="7" headerRowBorderDxfId="12" tableBorderDxfId="13" totalsRowBorderDxfId="11">
  <autoFilter ref="F9:H12" xr:uid="{E51CDA94-771B-48CB-994D-A041EA50E854}"/>
  <tableColumns count="3">
    <tableColumn id="1" xr3:uid="{B22690BF-3C8C-4348-B806-8141542ECEFB}" name="Kode Produk" dataDxfId="10"/>
    <tableColumn id="2" xr3:uid="{5C52EE11-83B3-4C04-AB97-81B642898266}" name="Nama Produk (Kiri)" dataDxfId="9"/>
    <tableColumn id="3" xr3:uid="{F9E85A10-CD38-4B9E-B2BF-BD6C573159A8}" name="Harga (Gunakan if_not_found)" dataDxfId="8">
      <calculatedColumnFormula>_xlfn.XLOOKUP(G10,$B$10:$B$13,D10:D13,"Data Tidak Ada")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029C088-BF9A-467B-8FF2-60D3FB29952F}" name="Table3" displayName="Table3" ref="B9:D13" totalsRowShown="0" headerRowDxfId="0" headerRowBorderDxfId="5" tableBorderDxfId="6" totalsRowBorderDxfId="4">
  <autoFilter ref="B9:D13" xr:uid="{6029C088-BF9A-467B-8FF2-60D3FB29952F}"/>
  <tableColumns count="3">
    <tableColumn id="1" xr3:uid="{B19913C1-0148-48B3-99C8-8EBF4819F4D8}" name="Nama Produk" dataDxfId="3"/>
    <tableColumn id="2" xr3:uid="{637BC5FB-C382-42D5-8570-A099C0C97BDD}" name="Kode Produk" dataDxfId="2"/>
    <tableColumn id="3" xr3:uid="{F52B190A-A549-4242-AEE7-A561B578CACB}" name="Harga" dataDxfId="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B9498A-D78A-4870-8D7D-C95FE2AF7851}" name="Table1" displayName="Table1" ref="A1:E76" totalsRowShown="0" headerRowDxfId="14">
  <autoFilter ref="A1:E76" xr:uid="{54B9498A-D78A-4870-8D7D-C95FE2AF7851}"/>
  <tableColumns count="5">
    <tableColumn id="1" xr3:uid="{BF6CCD62-C483-4382-80B0-0B7A442BA190}" name="Year" dataDxfId="19"/>
    <tableColumn id="2" xr3:uid="{FD01D19F-58B3-486F-B5C1-CFE8BB81EFFA}" name="Category" dataDxfId="18"/>
    <tableColumn id="3" xr3:uid="{4A347E0B-8AF5-4CD0-939B-435BC0ABDE79}" name="Product" dataDxfId="17"/>
    <tableColumn id="4" xr3:uid="{4DBDAAA9-93A2-4F26-877C-B5F95F04A4E1}" name="Sales" dataDxfId="16"/>
    <tableColumn id="5" xr3:uid="{B3D56B07-2132-4367-8F08-9BA328597C78}" name="Rating" dataDxfId="15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14"/>
  <sheetViews>
    <sheetView showGridLines="0" workbookViewId="0">
      <selection activeCell="B8" sqref="B8"/>
    </sheetView>
  </sheetViews>
  <sheetFormatPr defaultRowHeight="15" x14ac:dyDescent="0.25"/>
  <cols>
    <col min="2" max="2" width="80" customWidth="1"/>
  </cols>
  <sheetData>
    <row r="2" spans="2:2" ht="21" x14ac:dyDescent="0.35">
      <c r="B2" s="1" t="s">
        <v>0</v>
      </c>
    </row>
    <row r="4" spans="2:2" x14ac:dyDescent="0.25">
      <c r="B4" t="s">
        <v>1</v>
      </c>
    </row>
    <row r="5" spans="2:2" x14ac:dyDescent="0.25">
      <c r="B5" t="s">
        <v>2</v>
      </c>
    </row>
    <row r="7" spans="2:2" ht="15.75" x14ac:dyDescent="0.25">
      <c r="B7" s="2" t="s">
        <v>3</v>
      </c>
    </row>
    <row r="8" spans="2:2" ht="30" x14ac:dyDescent="0.25">
      <c r="B8" s="3" t="s">
        <v>4</v>
      </c>
    </row>
    <row r="10" spans="2:2" ht="15.75" x14ac:dyDescent="0.25">
      <c r="B10" s="2" t="s">
        <v>5</v>
      </c>
    </row>
    <row r="11" spans="2:2" ht="30" x14ac:dyDescent="0.25">
      <c r="B11" s="3" t="s">
        <v>6</v>
      </c>
    </row>
    <row r="13" spans="2:2" ht="15.75" x14ac:dyDescent="0.25">
      <c r="B13" s="2" t="s">
        <v>7</v>
      </c>
    </row>
    <row r="14" spans="2:2" ht="45" x14ac:dyDescent="0.25">
      <c r="B14" s="3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12"/>
  <sheetViews>
    <sheetView showGridLines="0" workbookViewId="0">
      <selection activeCell="G12" sqref="G12"/>
    </sheetView>
  </sheetViews>
  <sheetFormatPr defaultRowHeight="15" x14ac:dyDescent="0.25"/>
  <cols>
    <col min="2" max="2" width="15" customWidth="1"/>
    <col min="3" max="3" width="20" customWidth="1"/>
    <col min="4" max="5" width="15" customWidth="1"/>
    <col min="7" max="7" width="15" customWidth="1"/>
    <col min="8" max="8" width="20" customWidth="1"/>
    <col min="9" max="9" width="15" customWidth="1"/>
  </cols>
  <sheetData>
    <row r="2" spans="2:9" ht="21" x14ac:dyDescent="0.35">
      <c r="B2" s="1" t="s">
        <v>9</v>
      </c>
    </row>
    <row r="4" spans="2:9" x14ac:dyDescent="0.25">
      <c r="B4" s="9" t="s">
        <v>10</v>
      </c>
      <c r="C4" s="10"/>
      <c r="D4" s="10"/>
      <c r="E4" s="10"/>
      <c r="F4" s="10"/>
      <c r="G4" s="10"/>
      <c r="H4" s="10"/>
      <c r="I4" s="10"/>
    </row>
    <row r="6" spans="2:9" x14ac:dyDescent="0.25">
      <c r="B6" s="4" t="s">
        <v>11</v>
      </c>
      <c r="G6" s="4" t="s">
        <v>12</v>
      </c>
    </row>
    <row r="7" spans="2:9" x14ac:dyDescent="0.25">
      <c r="B7" s="5" t="s">
        <v>13</v>
      </c>
      <c r="C7" s="5" t="s">
        <v>14</v>
      </c>
      <c r="D7" s="5" t="s">
        <v>15</v>
      </c>
      <c r="E7" s="5" t="s">
        <v>16</v>
      </c>
      <c r="G7" s="5" t="s">
        <v>13</v>
      </c>
      <c r="H7" s="5" t="s">
        <v>14</v>
      </c>
      <c r="I7" s="5" t="s">
        <v>16</v>
      </c>
    </row>
    <row r="8" spans="2:9" x14ac:dyDescent="0.25">
      <c r="B8" s="6" t="s">
        <v>17</v>
      </c>
      <c r="C8" s="6" t="s">
        <v>18</v>
      </c>
      <c r="D8" s="6" t="s">
        <v>19</v>
      </c>
      <c r="E8" s="7">
        <v>8000000</v>
      </c>
      <c r="G8" s="6" t="s">
        <v>20</v>
      </c>
      <c r="H8" s="8" t="str">
        <f>VLOOKUP(G8,$B$8:$E$12,2,)</f>
        <v>Citra Kirana</v>
      </c>
      <c r="I8" s="17">
        <f>VLOOKUP(G8,$B$8:$E$12,4,0)</f>
        <v>6000000</v>
      </c>
    </row>
    <row r="9" spans="2:9" x14ac:dyDescent="0.25">
      <c r="B9" s="6" t="s">
        <v>21</v>
      </c>
      <c r="C9" s="6" t="s">
        <v>22</v>
      </c>
      <c r="D9" s="6" t="s">
        <v>23</v>
      </c>
      <c r="E9" s="7">
        <v>7500000</v>
      </c>
      <c r="G9" s="6" t="s">
        <v>24</v>
      </c>
      <c r="H9" s="8" t="str">
        <f>VLOOKUP(G9,$B$8:$E$12,2,)</f>
        <v>Eko Prasetyo</v>
      </c>
      <c r="I9" s="17">
        <f t="shared" ref="I9:I10" si="0">VLOOKUP(G9,$B$8:$E$12,4,0)</f>
        <v>5500000</v>
      </c>
    </row>
    <row r="10" spans="2:9" x14ac:dyDescent="0.25">
      <c r="B10" s="6" t="s">
        <v>20</v>
      </c>
      <c r="C10" s="6" t="s">
        <v>25</v>
      </c>
      <c r="D10" s="6" t="s">
        <v>26</v>
      </c>
      <c r="E10" s="7">
        <v>6000000</v>
      </c>
      <c r="G10" s="6" t="s">
        <v>17</v>
      </c>
      <c r="H10" s="8" t="str">
        <f>VLOOKUP(G10,$B$8:$E$12,2,)</f>
        <v>Andi Syahputra</v>
      </c>
      <c r="I10" s="17">
        <f t="shared" si="0"/>
        <v>8000000</v>
      </c>
    </row>
    <row r="11" spans="2:9" x14ac:dyDescent="0.25">
      <c r="B11" s="6" t="s">
        <v>27</v>
      </c>
      <c r="C11" s="6" t="s">
        <v>28</v>
      </c>
      <c r="D11" s="6" t="s">
        <v>29</v>
      </c>
      <c r="E11" s="7">
        <v>6500000</v>
      </c>
    </row>
    <row r="12" spans="2:9" x14ac:dyDescent="0.25">
      <c r="B12" s="6" t="s">
        <v>24</v>
      </c>
      <c r="C12" s="6" t="s">
        <v>30</v>
      </c>
      <c r="D12" s="6" t="s">
        <v>31</v>
      </c>
      <c r="E12" s="7">
        <v>5500000</v>
      </c>
    </row>
  </sheetData>
  <mergeCells count="1">
    <mergeCell ref="B4:I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16"/>
  <sheetViews>
    <sheetView showGridLines="0" workbookViewId="0">
      <selection activeCell="F10" sqref="F10"/>
    </sheetView>
  </sheetViews>
  <sheetFormatPr defaultRowHeight="15" x14ac:dyDescent="0.25"/>
  <cols>
    <col min="2" max="6" width="15" customWidth="1"/>
  </cols>
  <sheetData>
    <row r="2" spans="2:8" ht="21" x14ac:dyDescent="0.35">
      <c r="B2" s="1" t="s">
        <v>32</v>
      </c>
    </row>
    <row r="4" spans="2:8" x14ac:dyDescent="0.25">
      <c r="B4" s="11" t="s">
        <v>33</v>
      </c>
      <c r="C4" s="10"/>
      <c r="D4" s="10"/>
      <c r="E4" s="10"/>
      <c r="F4" s="10"/>
      <c r="G4" s="10"/>
      <c r="H4" s="10"/>
    </row>
    <row r="6" spans="2:8" x14ac:dyDescent="0.25">
      <c r="B6" s="4" t="s">
        <v>34</v>
      </c>
    </row>
    <row r="7" spans="2:8" x14ac:dyDescent="0.25">
      <c r="B7" s="5" t="s">
        <v>35</v>
      </c>
      <c r="C7" s="5" t="s">
        <v>36</v>
      </c>
      <c r="D7" s="5" t="s">
        <v>37</v>
      </c>
      <c r="E7" s="5" t="s">
        <v>38</v>
      </c>
      <c r="F7" s="5" t="s">
        <v>39</v>
      </c>
    </row>
    <row r="8" spans="2:8" x14ac:dyDescent="0.25">
      <c r="B8" s="6" t="s">
        <v>40</v>
      </c>
      <c r="C8" s="6" t="s">
        <v>41</v>
      </c>
      <c r="D8" s="6" t="s">
        <v>42</v>
      </c>
      <c r="E8" s="6" t="s">
        <v>43</v>
      </c>
      <c r="F8" s="6" t="s">
        <v>44</v>
      </c>
    </row>
    <row r="9" spans="2:8" x14ac:dyDescent="0.25">
      <c r="B9" s="6" t="s">
        <v>45</v>
      </c>
      <c r="C9" s="7">
        <v>10000</v>
      </c>
      <c r="D9" s="7">
        <v>15000</v>
      </c>
      <c r="E9" s="7">
        <v>25000</v>
      </c>
      <c r="F9" s="7">
        <v>40000</v>
      </c>
    </row>
    <row r="12" spans="2:8" x14ac:dyDescent="0.25">
      <c r="B12" s="4" t="s">
        <v>12</v>
      </c>
    </row>
    <row r="13" spans="2:8" x14ac:dyDescent="0.25">
      <c r="B13" s="5" t="s">
        <v>46</v>
      </c>
      <c r="C13" s="5" t="s">
        <v>35</v>
      </c>
      <c r="D13" s="5" t="s">
        <v>40</v>
      </c>
      <c r="E13" s="5" t="s">
        <v>47</v>
      </c>
    </row>
    <row r="14" spans="2:8" x14ac:dyDescent="0.25">
      <c r="B14" s="6">
        <v>1</v>
      </c>
      <c r="C14" s="6" t="s">
        <v>38</v>
      </c>
      <c r="D14" s="8" t="str">
        <f>HLOOKUP(C14,$C$7:$F$9,2,0)</f>
        <v>Express</v>
      </c>
      <c r="E14" s="17">
        <f>HLOOKUP(D14,$C$8:$F$9,2,0)</f>
        <v>25000</v>
      </c>
    </row>
    <row r="15" spans="2:8" x14ac:dyDescent="0.25">
      <c r="B15" s="6">
        <v>2</v>
      </c>
      <c r="C15" s="6" t="s">
        <v>36</v>
      </c>
      <c r="D15" s="8" t="str">
        <f t="shared" ref="D15:D16" si="0">HLOOKUP(C15,$C$7:$F$9,2,0)</f>
        <v>Ekonomis</v>
      </c>
      <c r="E15" s="17">
        <f t="shared" ref="E15:E16" si="1">HLOOKUP(D15,$C$8:$F$9,2,0)</f>
        <v>10000</v>
      </c>
    </row>
    <row r="16" spans="2:8" x14ac:dyDescent="0.25">
      <c r="B16" s="6">
        <v>3</v>
      </c>
      <c r="C16" s="6" t="s">
        <v>39</v>
      </c>
      <c r="D16" s="8" t="str">
        <f t="shared" si="0"/>
        <v>Same-Day</v>
      </c>
      <c r="E16" s="17">
        <f t="shared" si="1"/>
        <v>40000</v>
      </c>
    </row>
  </sheetData>
  <mergeCells count="1">
    <mergeCell ref="B4:H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H13"/>
  <sheetViews>
    <sheetView showGridLines="0" workbookViewId="0">
      <selection activeCell="I7" sqref="I7"/>
    </sheetView>
  </sheetViews>
  <sheetFormatPr defaultRowHeight="15" x14ac:dyDescent="0.25"/>
  <cols>
    <col min="2" max="2" width="25.85546875" bestFit="1" customWidth="1"/>
    <col min="3" max="3" width="14.42578125" customWidth="1"/>
    <col min="4" max="4" width="12.85546875" bestFit="1" customWidth="1"/>
    <col min="6" max="6" width="26.140625" bestFit="1" customWidth="1"/>
    <col min="7" max="7" width="19.85546875" customWidth="1"/>
    <col min="8" max="8" width="29.85546875" customWidth="1"/>
  </cols>
  <sheetData>
    <row r="2" spans="2:8" ht="21" x14ac:dyDescent="0.35">
      <c r="B2" s="1" t="s">
        <v>48</v>
      </c>
    </row>
    <row r="4" spans="2:8" x14ac:dyDescent="0.25">
      <c r="B4" s="12" t="s">
        <v>49</v>
      </c>
      <c r="C4" s="10"/>
      <c r="D4" s="10"/>
      <c r="E4" s="10"/>
      <c r="F4" s="10"/>
      <c r="G4" s="10"/>
      <c r="H4" s="10"/>
    </row>
    <row r="5" spans="2:8" x14ac:dyDescent="0.25">
      <c r="B5" s="10"/>
      <c r="C5" s="10"/>
      <c r="D5" s="10"/>
      <c r="E5" s="10"/>
      <c r="F5" s="10"/>
      <c r="G5" s="10"/>
      <c r="H5" s="10"/>
    </row>
    <row r="6" spans="2:8" x14ac:dyDescent="0.25">
      <c r="B6" s="10"/>
      <c r="C6" s="10"/>
      <c r="D6" s="10"/>
      <c r="E6" s="10"/>
      <c r="F6" s="10"/>
      <c r="G6" s="10"/>
      <c r="H6" s="10"/>
    </row>
    <row r="8" spans="2:8" x14ac:dyDescent="0.25">
      <c r="B8" s="4" t="s">
        <v>50</v>
      </c>
      <c r="F8" s="4" t="s">
        <v>12</v>
      </c>
    </row>
    <row r="9" spans="2:8" x14ac:dyDescent="0.25">
      <c r="B9" s="20" t="s">
        <v>51</v>
      </c>
      <c r="C9" s="21" t="s">
        <v>52</v>
      </c>
      <c r="D9" s="22" t="s">
        <v>53</v>
      </c>
      <c r="F9" s="20" t="s">
        <v>52</v>
      </c>
      <c r="G9" s="21" t="s">
        <v>54</v>
      </c>
      <c r="H9" s="22" t="s">
        <v>55</v>
      </c>
    </row>
    <row r="10" spans="2:8" x14ac:dyDescent="0.25">
      <c r="B10" s="18" t="s">
        <v>56</v>
      </c>
      <c r="C10" s="6" t="s">
        <v>57</v>
      </c>
      <c r="D10" s="26">
        <v>15000000</v>
      </c>
      <c r="F10" s="18" t="s">
        <v>58</v>
      </c>
      <c r="G10" s="8" t="str">
        <f>_xlfn.XLOOKUP(F10,$C$10:$C$13,$B$10:$B$13)</f>
        <v>Monitor Samsung 24</v>
      </c>
      <c r="H10" s="19">
        <f>_xlfn.XLOOKUP(G10,$B$10:$B$13,D10:D13,"Data Tidak Ada")</f>
        <v>2000000</v>
      </c>
    </row>
    <row r="11" spans="2:8" x14ac:dyDescent="0.25">
      <c r="B11" s="18" t="s">
        <v>59</v>
      </c>
      <c r="C11" s="6" t="s">
        <v>60</v>
      </c>
      <c r="D11" s="26">
        <v>250000</v>
      </c>
      <c r="F11" s="18" t="s">
        <v>57</v>
      </c>
      <c r="G11" s="8" t="str">
        <f t="shared" ref="G11:G12" si="0">_xlfn.XLOOKUP(F11,$C$10:$C$13,$B$10:$B$13)</f>
        <v>Laptop ASUS ROG</v>
      </c>
      <c r="H11" s="19">
        <f t="shared" ref="H11:H12" si="1">_xlfn.XLOOKUP(G11,$B$10:$B$13,D11:D14,"Data Tidak Ada")</f>
        <v>250000</v>
      </c>
    </row>
    <row r="12" spans="2:8" x14ac:dyDescent="0.25">
      <c r="B12" s="18" t="s">
        <v>61</v>
      </c>
      <c r="C12" s="6" t="s">
        <v>62</v>
      </c>
      <c r="D12" s="26">
        <v>750000</v>
      </c>
      <c r="F12" s="23" t="s">
        <v>63</v>
      </c>
      <c r="G12" s="24" t="str">
        <f>_xlfn.XLOOKUP(F12,$C$10:$C$13,$B$10:$B$13,"Data Tidak Ada")</f>
        <v>Data Tidak Ada</v>
      </c>
      <c r="H12" s="25" t="str">
        <f t="shared" si="1"/>
        <v>Data Tidak Ada</v>
      </c>
    </row>
    <row r="13" spans="2:8" x14ac:dyDescent="0.25">
      <c r="B13" s="23" t="s">
        <v>64</v>
      </c>
      <c r="C13" s="27" t="s">
        <v>58</v>
      </c>
      <c r="D13" s="28">
        <v>2000000</v>
      </c>
    </row>
  </sheetData>
  <mergeCells count="1">
    <mergeCell ref="B4:H6"/>
  </mergeCells>
  <pageMargins left="0.75" right="0.75" top="1" bottom="1" header="0.5" footer="0.5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7DAB3-B9D8-45E3-9C34-F261D4CF3D2E}">
  <dimension ref="A1:E76"/>
  <sheetViews>
    <sheetView tabSelected="1" workbookViewId="0">
      <selection activeCell="G2" sqref="G2"/>
    </sheetView>
  </sheetViews>
  <sheetFormatPr defaultRowHeight="15" x14ac:dyDescent="0.25"/>
  <cols>
    <col min="1" max="1" width="7.28515625" bestFit="1" customWidth="1"/>
    <col min="2" max="2" width="12.28515625" bestFit="1" customWidth="1"/>
    <col min="3" max="3" width="15.5703125" bestFit="1" customWidth="1"/>
    <col min="4" max="4" width="10.28515625" bestFit="1" customWidth="1"/>
    <col min="5" max="5" width="8.85546875" bestFit="1" customWidth="1"/>
  </cols>
  <sheetData>
    <row r="1" spans="1:5" x14ac:dyDescent="0.25">
      <c r="A1" s="13" t="s">
        <v>65</v>
      </c>
      <c r="B1" s="13" t="s">
        <v>66</v>
      </c>
      <c r="C1" s="13" t="s">
        <v>67</v>
      </c>
      <c r="D1" s="13" t="s">
        <v>31</v>
      </c>
      <c r="E1" s="13" t="s">
        <v>68</v>
      </c>
    </row>
    <row r="2" spans="1:5" x14ac:dyDescent="0.25">
      <c r="A2" s="13">
        <v>2017</v>
      </c>
      <c r="B2" s="13" t="s">
        <v>69</v>
      </c>
      <c r="C2" s="13" t="s">
        <v>70</v>
      </c>
      <c r="D2" s="14">
        <v>20000</v>
      </c>
      <c r="E2" s="15">
        <v>0.75</v>
      </c>
    </row>
    <row r="3" spans="1:5" x14ac:dyDescent="0.25">
      <c r="A3" s="13">
        <v>2015</v>
      </c>
      <c r="B3" s="13" t="s">
        <v>71</v>
      </c>
      <c r="C3" s="13" t="s">
        <v>72</v>
      </c>
      <c r="D3" s="14">
        <v>3700</v>
      </c>
      <c r="E3" s="15">
        <v>0.22</v>
      </c>
    </row>
    <row r="4" spans="1:5" x14ac:dyDescent="0.25">
      <c r="A4" s="13">
        <v>2017</v>
      </c>
      <c r="B4" s="13" t="s">
        <v>71</v>
      </c>
      <c r="C4" s="13" t="s">
        <v>73</v>
      </c>
      <c r="D4" s="14">
        <v>4000</v>
      </c>
      <c r="E4" s="15">
        <v>0.22</v>
      </c>
    </row>
    <row r="5" spans="1:5" x14ac:dyDescent="0.25">
      <c r="A5" s="13">
        <v>2015</v>
      </c>
      <c r="B5" s="13" t="s">
        <v>71</v>
      </c>
      <c r="C5" s="13" t="s">
        <v>74</v>
      </c>
      <c r="D5" s="14">
        <v>13300</v>
      </c>
      <c r="E5" s="15">
        <v>0.56000000000000005</v>
      </c>
    </row>
    <row r="6" spans="1:5" x14ac:dyDescent="0.25">
      <c r="A6" s="13">
        <v>2017</v>
      </c>
      <c r="B6" s="13" t="s">
        <v>71</v>
      </c>
      <c r="C6" s="13" t="s">
        <v>75</v>
      </c>
      <c r="D6" s="14">
        <v>36000</v>
      </c>
      <c r="E6" s="15">
        <v>1</v>
      </c>
    </row>
    <row r="7" spans="1:5" x14ac:dyDescent="0.25">
      <c r="A7" s="13">
        <v>2015</v>
      </c>
      <c r="B7" s="13" t="s">
        <v>69</v>
      </c>
      <c r="C7" s="13" t="s">
        <v>76</v>
      </c>
      <c r="D7" s="14">
        <v>2300</v>
      </c>
      <c r="E7" s="15">
        <v>0.35</v>
      </c>
    </row>
    <row r="8" spans="1:5" x14ac:dyDescent="0.25">
      <c r="A8" s="13">
        <v>2016</v>
      </c>
      <c r="B8" s="13" t="s">
        <v>71</v>
      </c>
      <c r="C8" s="13" t="s">
        <v>72</v>
      </c>
      <c r="D8" s="14">
        <v>2300</v>
      </c>
      <c r="E8" s="15">
        <v>0.28000000000000003</v>
      </c>
    </row>
    <row r="9" spans="1:5" x14ac:dyDescent="0.25">
      <c r="A9" s="13">
        <v>2016</v>
      </c>
      <c r="B9" s="13" t="s">
        <v>69</v>
      </c>
      <c r="C9" s="13" t="s">
        <v>77</v>
      </c>
      <c r="D9" s="14">
        <v>3400</v>
      </c>
      <c r="E9" s="15">
        <v>0.36</v>
      </c>
    </row>
    <row r="10" spans="1:5" x14ac:dyDescent="0.25">
      <c r="A10" s="13">
        <v>2016</v>
      </c>
      <c r="B10" s="13" t="s">
        <v>78</v>
      </c>
      <c r="C10" s="13" t="s">
        <v>79</v>
      </c>
      <c r="D10" s="14">
        <v>6300</v>
      </c>
      <c r="E10" s="15">
        <v>0.4</v>
      </c>
    </row>
    <row r="11" spans="1:5" x14ac:dyDescent="0.25">
      <c r="A11" s="13">
        <v>2017</v>
      </c>
      <c r="B11" s="13" t="s">
        <v>69</v>
      </c>
      <c r="C11" s="13" t="s">
        <v>77</v>
      </c>
      <c r="D11" s="14">
        <v>5400</v>
      </c>
      <c r="E11" s="15">
        <v>0.38</v>
      </c>
    </row>
    <row r="12" spans="1:5" x14ac:dyDescent="0.25">
      <c r="A12" s="13">
        <v>2016</v>
      </c>
      <c r="B12" s="13" t="s">
        <v>80</v>
      </c>
      <c r="C12" s="13" t="s">
        <v>81</v>
      </c>
      <c r="D12" s="14">
        <v>17000</v>
      </c>
      <c r="E12" s="15">
        <v>0.9</v>
      </c>
    </row>
    <row r="13" spans="1:5" x14ac:dyDescent="0.25">
      <c r="A13" s="13">
        <v>2016</v>
      </c>
      <c r="B13" s="13" t="s">
        <v>80</v>
      </c>
      <c r="C13" s="13" t="s">
        <v>82</v>
      </c>
      <c r="D13" s="14">
        <v>21600</v>
      </c>
      <c r="E13" s="15">
        <v>0.9</v>
      </c>
    </row>
    <row r="14" spans="1:5" x14ac:dyDescent="0.25">
      <c r="A14" s="13">
        <v>2016</v>
      </c>
      <c r="B14" s="13" t="s">
        <v>80</v>
      </c>
      <c r="C14" s="13" t="s">
        <v>83</v>
      </c>
      <c r="D14" s="14">
        <v>29800</v>
      </c>
      <c r="E14" s="15">
        <v>0.9</v>
      </c>
    </row>
    <row r="15" spans="1:5" x14ac:dyDescent="0.25">
      <c r="A15" s="13">
        <v>2016</v>
      </c>
      <c r="B15" s="13" t="s">
        <v>69</v>
      </c>
      <c r="C15" s="13" t="s">
        <v>84</v>
      </c>
      <c r="D15" s="14">
        <v>1000</v>
      </c>
      <c r="E15" s="15">
        <v>0.23</v>
      </c>
    </row>
    <row r="16" spans="1:5" x14ac:dyDescent="0.25">
      <c r="A16" s="13">
        <v>2015</v>
      </c>
      <c r="B16" s="13" t="s">
        <v>71</v>
      </c>
      <c r="C16" s="13" t="s">
        <v>85</v>
      </c>
      <c r="D16" s="14">
        <v>6700</v>
      </c>
      <c r="E16" s="15">
        <v>0.05</v>
      </c>
    </row>
    <row r="17" spans="1:5" x14ac:dyDescent="0.25">
      <c r="A17" s="13">
        <v>2017</v>
      </c>
      <c r="B17" s="13" t="s">
        <v>69</v>
      </c>
      <c r="C17" s="13" t="s">
        <v>84</v>
      </c>
      <c r="D17" s="14">
        <v>600</v>
      </c>
      <c r="E17" s="15">
        <v>0.27</v>
      </c>
    </row>
    <row r="18" spans="1:5" x14ac:dyDescent="0.25">
      <c r="A18" s="13">
        <v>2015</v>
      </c>
      <c r="B18" s="13" t="s">
        <v>78</v>
      </c>
      <c r="C18" s="13" t="s">
        <v>86</v>
      </c>
      <c r="D18" s="14">
        <v>3500</v>
      </c>
      <c r="E18" s="15">
        <v>0.5</v>
      </c>
    </row>
    <row r="19" spans="1:5" x14ac:dyDescent="0.25">
      <c r="A19" s="13">
        <v>2017</v>
      </c>
      <c r="B19" s="13" t="s">
        <v>71</v>
      </c>
      <c r="C19" s="13" t="s">
        <v>85</v>
      </c>
      <c r="D19" s="14">
        <v>7500</v>
      </c>
      <c r="E19" s="15">
        <v>0.4</v>
      </c>
    </row>
    <row r="20" spans="1:5" x14ac:dyDescent="0.25">
      <c r="A20" s="13">
        <v>2017</v>
      </c>
      <c r="B20" s="13" t="s">
        <v>80</v>
      </c>
      <c r="C20" s="13" t="s">
        <v>87</v>
      </c>
      <c r="D20" s="14">
        <v>63700</v>
      </c>
      <c r="E20" s="15">
        <v>0.9</v>
      </c>
    </row>
    <row r="21" spans="1:5" x14ac:dyDescent="0.25">
      <c r="A21" s="13">
        <v>2017</v>
      </c>
      <c r="B21" s="13" t="s">
        <v>78</v>
      </c>
      <c r="C21" s="13" t="s">
        <v>88</v>
      </c>
      <c r="D21" s="14">
        <v>9300</v>
      </c>
      <c r="E21" s="15">
        <v>0.6</v>
      </c>
    </row>
    <row r="22" spans="1:5" x14ac:dyDescent="0.25">
      <c r="A22" s="13">
        <v>2017</v>
      </c>
      <c r="B22" s="13" t="s">
        <v>78</v>
      </c>
      <c r="C22" s="13" t="s">
        <v>79</v>
      </c>
      <c r="D22" s="14">
        <v>8500</v>
      </c>
      <c r="E22" s="15">
        <v>0.46</v>
      </c>
    </row>
    <row r="23" spans="1:5" x14ac:dyDescent="0.25">
      <c r="A23" s="13">
        <v>2017</v>
      </c>
      <c r="B23" s="13" t="s">
        <v>80</v>
      </c>
      <c r="C23" s="13" t="s">
        <v>89</v>
      </c>
      <c r="D23" s="14">
        <v>33700</v>
      </c>
      <c r="E23" s="15">
        <v>0.92</v>
      </c>
    </row>
    <row r="24" spans="1:5" x14ac:dyDescent="0.25">
      <c r="A24" s="13">
        <v>2017</v>
      </c>
      <c r="B24" s="13" t="s">
        <v>71</v>
      </c>
      <c r="C24" s="13" t="s">
        <v>90</v>
      </c>
      <c r="D24" s="14">
        <v>600</v>
      </c>
      <c r="E24" s="15">
        <v>0.15</v>
      </c>
    </row>
    <row r="25" spans="1:5" x14ac:dyDescent="0.25">
      <c r="A25" s="13">
        <v>2015</v>
      </c>
      <c r="B25" s="13" t="s">
        <v>78</v>
      </c>
      <c r="C25" s="13" t="s">
        <v>79</v>
      </c>
      <c r="D25" s="14">
        <v>3100</v>
      </c>
      <c r="E25" s="15">
        <v>0.35</v>
      </c>
    </row>
    <row r="26" spans="1:5" x14ac:dyDescent="0.25">
      <c r="A26" s="13">
        <v>2017</v>
      </c>
      <c r="B26" s="13" t="s">
        <v>80</v>
      </c>
      <c r="C26" s="13" t="s">
        <v>91</v>
      </c>
      <c r="D26" s="14">
        <v>30700</v>
      </c>
      <c r="E26" s="15">
        <v>0.95</v>
      </c>
    </row>
    <row r="27" spans="1:5" x14ac:dyDescent="0.25">
      <c r="A27" s="13">
        <v>2016</v>
      </c>
      <c r="B27" s="13" t="s">
        <v>80</v>
      </c>
      <c r="C27" s="13" t="s">
        <v>91</v>
      </c>
      <c r="D27" s="14">
        <v>16400</v>
      </c>
      <c r="E27" s="15">
        <v>0.8</v>
      </c>
    </row>
    <row r="28" spans="1:5" x14ac:dyDescent="0.25">
      <c r="A28" s="13">
        <v>2016</v>
      </c>
      <c r="B28" s="13" t="s">
        <v>80</v>
      </c>
      <c r="C28" s="13" t="s">
        <v>89</v>
      </c>
      <c r="D28" s="14">
        <v>22100</v>
      </c>
      <c r="E28" s="15">
        <v>0.9</v>
      </c>
    </row>
    <row r="29" spans="1:5" x14ac:dyDescent="0.25">
      <c r="A29" s="13">
        <v>2017</v>
      </c>
      <c r="B29" s="13" t="s">
        <v>80</v>
      </c>
      <c r="C29" s="13" t="s">
        <v>81</v>
      </c>
      <c r="D29" s="14">
        <v>34000</v>
      </c>
      <c r="E29" s="15">
        <v>0.95</v>
      </c>
    </row>
    <row r="30" spans="1:5" x14ac:dyDescent="0.25">
      <c r="A30" s="13">
        <v>2015</v>
      </c>
      <c r="B30" s="13" t="s">
        <v>80</v>
      </c>
      <c r="C30" s="13" t="s">
        <v>91</v>
      </c>
      <c r="D30" s="14">
        <v>700</v>
      </c>
      <c r="E30" s="15">
        <v>0.1</v>
      </c>
    </row>
    <row r="31" spans="1:5" x14ac:dyDescent="0.25">
      <c r="A31" s="13">
        <v>2015</v>
      </c>
      <c r="B31" s="13" t="s">
        <v>71</v>
      </c>
      <c r="C31" s="13" t="s">
        <v>75</v>
      </c>
      <c r="D31" s="14">
        <v>3300</v>
      </c>
      <c r="E31" s="15">
        <v>0.3</v>
      </c>
    </row>
    <row r="32" spans="1:5" x14ac:dyDescent="0.25">
      <c r="A32" s="13">
        <v>2017</v>
      </c>
      <c r="B32" s="13" t="s">
        <v>78</v>
      </c>
      <c r="C32" s="13" t="s">
        <v>86</v>
      </c>
      <c r="D32" s="14">
        <v>16900</v>
      </c>
      <c r="E32" s="15">
        <v>0.65</v>
      </c>
    </row>
    <row r="33" spans="1:5" x14ac:dyDescent="0.25">
      <c r="A33" s="13">
        <v>2017</v>
      </c>
      <c r="B33" s="13" t="s">
        <v>80</v>
      </c>
      <c r="C33" s="13" t="s">
        <v>82</v>
      </c>
      <c r="D33" s="14">
        <v>36700</v>
      </c>
      <c r="E33" s="15">
        <v>0.9</v>
      </c>
    </row>
    <row r="34" spans="1:5" x14ac:dyDescent="0.25">
      <c r="A34" s="13">
        <v>2015</v>
      </c>
      <c r="B34" s="13" t="s">
        <v>80</v>
      </c>
      <c r="C34" s="13" t="s">
        <v>81</v>
      </c>
      <c r="D34" s="14">
        <v>8300</v>
      </c>
      <c r="E34" s="15">
        <v>0.99</v>
      </c>
    </row>
    <row r="35" spans="1:5" x14ac:dyDescent="0.25">
      <c r="A35" s="13">
        <v>2016</v>
      </c>
      <c r="B35" s="13" t="s">
        <v>71</v>
      </c>
      <c r="C35" s="13" t="s">
        <v>73</v>
      </c>
      <c r="D35" s="14">
        <v>2900</v>
      </c>
      <c r="E35" s="15">
        <v>0.36</v>
      </c>
    </row>
    <row r="36" spans="1:5" x14ac:dyDescent="0.25">
      <c r="A36" s="13">
        <v>2015</v>
      </c>
      <c r="B36" s="13" t="s">
        <v>80</v>
      </c>
      <c r="C36" s="13" t="s">
        <v>87</v>
      </c>
      <c r="D36" s="14">
        <v>8700</v>
      </c>
      <c r="E36" s="15">
        <v>0.9</v>
      </c>
    </row>
    <row r="37" spans="1:5" x14ac:dyDescent="0.25">
      <c r="A37" s="13">
        <v>2017</v>
      </c>
      <c r="B37" s="13" t="s">
        <v>80</v>
      </c>
      <c r="C37" s="13" t="s">
        <v>83</v>
      </c>
      <c r="D37" s="14">
        <v>35000</v>
      </c>
      <c r="E37" s="15">
        <v>1</v>
      </c>
    </row>
    <row r="38" spans="1:5" x14ac:dyDescent="0.25">
      <c r="A38" s="13">
        <v>2016</v>
      </c>
      <c r="B38" s="13" t="s">
        <v>78</v>
      </c>
      <c r="C38" s="13" t="s">
        <v>86</v>
      </c>
      <c r="D38" s="14">
        <v>8300</v>
      </c>
      <c r="E38" s="15">
        <v>0.46</v>
      </c>
    </row>
    <row r="39" spans="1:5" x14ac:dyDescent="0.25">
      <c r="A39" s="13">
        <v>2016</v>
      </c>
      <c r="B39" s="13" t="s">
        <v>69</v>
      </c>
      <c r="C39" s="13" t="s">
        <v>92</v>
      </c>
      <c r="D39" s="14">
        <v>16700</v>
      </c>
      <c r="E39" s="15">
        <v>0.75</v>
      </c>
    </row>
    <row r="40" spans="1:5" x14ac:dyDescent="0.25">
      <c r="A40" s="13">
        <v>2016</v>
      </c>
      <c r="B40" s="13" t="s">
        <v>78</v>
      </c>
      <c r="C40" s="13" t="s">
        <v>93</v>
      </c>
      <c r="D40" s="14">
        <v>1800</v>
      </c>
      <c r="E40" s="15">
        <v>0.15</v>
      </c>
    </row>
    <row r="41" spans="1:5" x14ac:dyDescent="0.25">
      <c r="A41" s="13">
        <v>2017</v>
      </c>
      <c r="B41" s="13" t="s">
        <v>71</v>
      </c>
      <c r="C41" s="13" t="s">
        <v>72</v>
      </c>
      <c r="D41" s="14">
        <v>3700</v>
      </c>
      <c r="E41" s="15">
        <v>0.48</v>
      </c>
    </row>
    <row r="42" spans="1:5" x14ac:dyDescent="0.25">
      <c r="A42" s="13">
        <v>2016</v>
      </c>
      <c r="B42" s="13" t="s">
        <v>71</v>
      </c>
      <c r="C42" s="13" t="s">
        <v>74</v>
      </c>
      <c r="D42" s="14">
        <v>12000</v>
      </c>
      <c r="E42" s="15">
        <v>0.66</v>
      </c>
    </row>
    <row r="43" spans="1:5" x14ac:dyDescent="0.25">
      <c r="A43" s="13">
        <v>2015</v>
      </c>
      <c r="B43" s="13" t="s">
        <v>80</v>
      </c>
      <c r="C43" s="13" t="s">
        <v>83</v>
      </c>
      <c r="D43" s="14">
        <v>10000</v>
      </c>
      <c r="E43" s="15">
        <v>0.85</v>
      </c>
    </row>
    <row r="44" spans="1:5" x14ac:dyDescent="0.25">
      <c r="A44" s="13">
        <v>2015</v>
      </c>
      <c r="B44" s="13" t="s">
        <v>69</v>
      </c>
      <c r="C44" s="13" t="s">
        <v>84</v>
      </c>
      <c r="D44" s="14">
        <v>500</v>
      </c>
      <c r="E44" s="15">
        <v>0.35</v>
      </c>
    </row>
    <row r="45" spans="1:5" x14ac:dyDescent="0.25">
      <c r="A45" s="13">
        <v>2017</v>
      </c>
      <c r="B45" s="13" t="s">
        <v>69</v>
      </c>
      <c r="C45" s="13" t="s">
        <v>92</v>
      </c>
      <c r="D45" s="14">
        <v>21800</v>
      </c>
      <c r="E45" s="15">
        <v>0.96</v>
      </c>
    </row>
    <row r="46" spans="1:5" x14ac:dyDescent="0.25">
      <c r="A46" s="13">
        <v>2016</v>
      </c>
      <c r="B46" s="13" t="s">
        <v>69</v>
      </c>
      <c r="C46" s="13" t="s">
        <v>70</v>
      </c>
      <c r="D46" s="14">
        <v>16400</v>
      </c>
      <c r="E46" s="15">
        <v>0.7</v>
      </c>
    </row>
    <row r="47" spans="1:5" x14ac:dyDescent="0.25">
      <c r="A47" s="13">
        <v>2016</v>
      </c>
      <c r="B47" s="13" t="s">
        <v>71</v>
      </c>
      <c r="C47" s="13" t="s">
        <v>90</v>
      </c>
      <c r="D47" s="14">
        <v>400</v>
      </c>
      <c r="E47" s="15">
        <v>0.2</v>
      </c>
    </row>
    <row r="48" spans="1:5" x14ac:dyDescent="0.25">
      <c r="A48" s="13">
        <v>2015</v>
      </c>
      <c r="B48" s="13" t="s">
        <v>71</v>
      </c>
      <c r="C48" s="13" t="s">
        <v>94</v>
      </c>
      <c r="D48" s="14">
        <v>3300</v>
      </c>
      <c r="E48" s="15">
        <v>0.36</v>
      </c>
    </row>
    <row r="49" spans="1:5" x14ac:dyDescent="0.25">
      <c r="A49" s="13">
        <v>2017</v>
      </c>
      <c r="B49" s="13" t="s">
        <v>69</v>
      </c>
      <c r="C49" s="13" t="s">
        <v>76</v>
      </c>
      <c r="D49" s="14">
        <v>5000</v>
      </c>
      <c r="E49" s="15">
        <v>0.35</v>
      </c>
    </row>
    <row r="50" spans="1:5" x14ac:dyDescent="0.25">
      <c r="A50" s="13">
        <v>2016</v>
      </c>
      <c r="B50" s="13" t="s">
        <v>69</v>
      </c>
      <c r="C50" s="13" t="s">
        <v>76</v>
      </c>
      <c r="D50" s="14">
        <v>3300</v>
      </c>
      <c r="E50" s="15">
        <v>0.38</v>
      </c>
    </row>
    <row r="51" spans="1:5" x14ac:dyDescent="0.25">
      <c r="A51" s="13">
        <v>2015</v>
      </c>
      <c r="B51" s="13" t="s">
        <v>69</v>
      </c>
      <c r="C51" s="13" t="s">
        <v>95</v>
      </c>
      <c r="D51" s="14">
        <v>800</v>
      </c>
      <c r="E51" s="15">
        <v>0.36</v>
      </c>
    </row>
    <row r="52" spans="1:5" x14ac:dyDescent="0.25">
      <c r="A52" s="13">
        <v>2016</v>
      </c>
      <c r="B52" s="13" t="s">
        <v>71</v>
      </c>
      <c r="C52" s="13" t="s">
        <v>96</v>
      </c>
      <c r="D52" s="14">
        <v>15600</v>
      </c>
      <c r="E52" s="15">
        <v>0.65</v>
      </c>
    </row>
    <row r="53" spans="1:5" x14ac:dyDescent="0.25">
      <c r="A53" s="13">
        <v>2016</v>
      </c>
      <c r="B53" s="13" t="s">
        <v>69</v>
      </c>
      <c r="C53" s="13" t="s">
        <v>95</v>
      </c>
      <c r="D53" s="14">
        <v>1500</v>
      </c>
      <c r="E53" s="15">
        <v>0.17</v>
      </c>
    </row>
    <row r="54" spans="1:5" x14ac:dyDescent="0.25">
      <c r="A54" s="13">
        <v>2017</v>
      </c>
      <c r="B54" s="13" t="s">
        <v>69</v>
      </c>
      <c r="C54" s="13" t="s">
        <v>95</v>
      </c>
      <c r="D54" s="14">
        <v>6200</v>
      </c>
      <c r="E54" s="15">
        <v>0.38</v>
      </c>
    </row>
    <row r="55" spans="1:5" x14ac:dyDescent="0.25">
      <c r="A55" s="13">
        <v>2017</v>
      </c>
      <c r="B55" s="13" t="s">
        <v>71</v>
      </c>
      <c r="C55" s="13" t="s">
        <v>96</v>
      </c>
      <c r="D55" s="14">
        <v>27000</v>
      </c>
      <c r="E55" s="15">
        <v>0.88</v>
      </c>
    </row>
    <row r="56" spans="1:5" x14ac:dyDescent="0.25">
      <c r="A56" s="13">
        <v>2016</v>
      </c>
      <c r="B56" s="13" t="s">
        <v>69</v>
      </c>
      <c r="C56" s="13" t="s">
        <v>97</v>
      </c>
      <c r="D56" s="14">
        <v>2800</v>
      </c>
      <c r="E56" s="15">
        <v>0.38</v>
      </c>
    </row>
    <row r="57" spans="1:5" x14ac:dyDescent="0.25">
      <c r="A57" s="13">
        <v>2016</v>
      </c>
      <c r="B57" s="13" t="s">
        <v>78</v>
      </c>
      <c r="C57" s="13" t="s">
        <v>88</v>
      </c>
      <c r="D57" s="14">
        <v>6700</v>
      </c>
      <c r="E57" s="15">
        <v>0.46</v>
      </c>
    </row>
    <row r="58" spans="1:5" x14ac:dyDescent="0.25">
      <c r="A58" s="13">
        <v>2015</v>
      </c>
      <c r="B58" s="13" t="s">
        <v>71</v>
      </c>
      <c r="C58" s="13" t="s">
        <v>96</v>
      </c>
      <c r="D58" s="14">
        <v>13300</v>
      </c>
      <c r="E58" s="15">
        <v>0.5</v>
      </c>
    </row>
    <row r="59" spans="1:5" x14ac:dyDescent="0.25">
      <c r="A59" s="13">
        <v>2016</v>
      </c>
      <c r="B59" s="13" t="s">
        <v>80</v>
      </c>
      <c r="C59" s="13" t="s">
        <v>87</v>
      </c>
      <c r="D59" s="14">
        <v>13800</v>
      </c>
      <c r="E59" s="15">
        <v>0.85</v>
      </c>
    </row>
    <row r="60" spans="1:5" x14ac:dyDescent="0.25">
      <c r="A60" s="13">
        <v>2017</v>
      </c>
      <c r="B60" s="13" t="s">
        <v>71</v>
      </c>
      <c r="C60" s="13" t="s">
        <v>94</v>
      </c>
      <c r="D60" s="14">
        <v>2400</v>
      </c>
      <c r="E60" s="15">
        <v>0.35</v>
      </c>
    </row>
    <row r="61" spans="1:5" x14ac:dyDescent="0.25">
      <c r="A61" s="13">
        <v>2015</v>
      </c>
      <c r="B61" s="13" t="s">
        <v>80</v>
      </c>
      <c r="C61" s="13" t="s">
        <v>89</v>
      </c>
      <c r="D61" s="14">
        <v>300</v>
      </c>
      <c r="E61" s="15">
        <v>0.05</v>
      </c>
    </row>
    <row r="62" spans="1:5" x14ac:dyDescent="0.25">
      <c r="A62" s="13">
        <v>2015</v>
      </c>
      <c r="B62" s="13" t="s">
        <v>69</v>
      </c>
      <c r="C62" s="13" t="s">
        <v>97</v>
      </c>
      <c r="D62" s="14">
        <v>2100</v>
      </c>
      <c r="E62" s="15">
        <v>0.49</v>
      </c>
    </row>
    <row r="63" spans="1:5" x14ac:dyDescent="0.25">
      <c r="A63" s="13">
        <v>2015</v>
      </c>
      <c r="B63" s="13" t="s">
        <v>69</v>
      </c>
      <c r="C63" s="13" t="s">
        <v>77</v>
      </c>
      <c r="D63" s="14">
        <v>2300</v>
      </c>
      <c r="E63" s="15">
        <v>0.34</v>
      </c>
    </row>
    <row r="64" spans="1:5" x14ac:dyDescent="0.25">
      <c r="A64" s="13">
        <v>2015</v>
      </c>
      <c r="B64" s="13" t="s">
        <v>69</v>
      </c>
      <c r="C64" s="13" t="s">
        <v>92</v>
      </c>
      <c r="D64" s="14">
        <v>10000</v>
      </c>
      <c r="E64" s="15">
        <v>0.66</v>
      </c>
    </row>
    <row r="65" spans="1:5" x14ac:dyDescent="0.25">
      <c r="A65" s="13">
        <v>2015</v>
      </c>
      <c r="B65" s="13" t="s">
        <v>78</v>
      </c>
      <c r="C65" s="13" t="s">
        <v>93</v>
      </c>
      <c r="D65" s="14">
        <v>500</v>
      </c>
      <c r="E65" s="15">
        <v>0.22</v>
      </c>
    </row>
    <row r="66" spans="1:5" x14ac:dyDescent="0.25">
      <c r="A66" s="13">
        <v>2016</v>
      </c>
      <c r="B66" s="13" t="s">
        <v>71</v>
      </c>
      <c r="C66" s="13" t="s">
        <v>85</v>
      </c>
      <c r="D66" s="14">
        <v>3800</v>
      </c>
      <c r="E66" s="15">
        <v>0.48</v>
      </c>
    </row>
    <row r="67" spans="1:5" x14ac:dyDescent="0.25">
      <c r="A67" s="13">
        <v>2015</v>
      </c>
      <c r="B67" s="13" t="s">
        <v>78</v>
      </c>
      <c r="C67" s="13" t="s">
        <v>88</v>
      </c>
      <c r="D67" s="14">
        <v>3200</v>
      </c>
      <c r="E67" s="15">
        <v>0.48</v>
      </c>
    </row>
    <row r="68" spans="1:5" x14ac:dyDescent="0.25">
      <c r="A68" s="13">
        <v>2017</v>
      </c>
      <c r="B68" s="13" t="s">
        <v>71</v>
      </c>
      <c r="C68" s="13" t="s">
        <v>74</v>
      </c>
      <c r="D68" s="14">
        <v>23000</v>
      </c>
      <c r="E68" s="15">
        <v>1</v>
      </c>
    </row>
    <row r="69" spans="1:5" x14ac:dyDescent="0.25">
      <c r="A69" s="13">
        <v>2015</v>
      </c>
      <c r="B69" s="13" t="s">
        <v>71</v>
      </c>
      <c r="C69" s="13" t="s">
        <v>73</v>
      </c>
      <c r="D69" s="14">
        <v>700</v>
      </c>
      <c r="E69" s="15">
        <v>0.28000000000000003</v>
      </c>
    </row>
    <row r="70" spans="1:5" x14ac:dyDescent="0.25">
      <c r="A70" s="13">
        <v>2015</v>
      </c>
      <c r="B70" s="13" t="s">
        <v>80</v>
      </c>
      <c r="C70" s="13" t="s">
        <v>82</v>
      </c>
      <c r="D70" s="14">
        <v>1300</v>
      </c>
      <c r="E70" s="15">
        <v>0.9</v>
      </c>
    </row>
    <row r="71" spans="1:5" x14ac:dyDescent="0.25">
      <c r="A71" s="13">
        <v>2016</v>
      </c>
      <c r="B71" s="13" t="s">
        <v>71</v>
      </c>
      <c r="C71" s="13" t="s">
        <v>94</v>
      </c>
      <c r="D71" s="14">
        <v>1300</v>
      </c>
      <c r="E71" s="15">
        <v>0.25</v>
      </c>
    </row>
    <row r="72" spans="1:5" x14ac:dyDescent="0.25">
      <c r="A72" s="13">
        <v>2016</v>
      </c>
      <c r="B72" s="13" t="s">
        <v>71</v>
      </c>
      <c r="C72" s="13" t="s">
        <v>75</v>
      </c>
      <c r="D72" s="14">
        <v>22100</v>
      </c>
      <c r="E72" s="15">
        <v>0.99</v>
      </c>
    </row>
    <row r="73" spans="1:5" x14ac:dyDescent="0.25">
      <c r="A73" s="13">
        <v>2017</v>
      </c>
      <c r="B73" s="13" t="s">
        <v>69</v>
      </c>
      <c r="C73" s="13" t="s">
        <v>97</v>
      </c>
      <c r="D73" s="14">
        <v>3100</v>
      </c>
      <c r="E73" s="15">
        <v>0.42</v>
      </c>
    </row>
    <row r="74" spans="1:5" x14ac:dyDescent="0.25">
      <c r="A74" s="13">
        <v>2015</v>
      </c>
      <c r="B74" s="13" t="s">
        <v>71</v>
      </c>
      <c r="C74" s="13" t="s">
        <v>90</v>
      </c>
      <c r="D74" s="14">
        <v>500</v>
      </c>
      <c r="E74" s="15">
        <v>0.5</v>
      </c>
    </row>
    <row r="75" spans="1:5" x14ac:dyDescent="0.25">
      <c r="A75" s="13">
        <v>2017</v>
      </c>
      <c r="B75" s="13" t="s">
        <v>78</v>
      </c>
      <c r="C75" s="13" t="s">
        <v>93</v>
      </c>
      <c r="D75" s="14">
        <v>3100</v>
      </c>
      <c r="E75" s="15">
        <v>0.22</v>
      </c>
    </row>
    <row r="76" spans="1:5" x14ac:dyDescent="0.25">
      <c r="A76" s="13">
        <v>2015</v>
      </c>
      <c r="B76" s="13" t="s">
        <v>69</v>
      </c>
      <c r="C76" s="13" t="s">
        <v>70</v>
      </c>
      <c r="D76" s="14">
        <v>8700</v>
      </c>
      <c r="E76" s="15">
        <v>0.92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AFFDC-7196-459B-B7F4-51D77E24DDC2}">
  <dimension ref="A2:E29"/>
  <sheetViews>
    <sheetView workbookViewId="0">
      <selection activeCell="E2" sqref="E2"/>
    </sheetView>
  </sheetViews>
  <sheetFormatPr defaultRowHeight="15" x14ac:dyDescent="0.25"/>
  <cols>
    <col min="1" max="1" width="15.5703125" bestFit="1" customWidth="1"/>
    <col min="2" max="5" width="11.28515625" bestFit="1" customWidth="1"/>
  </cols>
  <sheetData>
    <row r="2" spans="1:5" x14ac:dyDescent="0.25">
      <c r="A2" s="16" t="s">
        <v>98</v>
      </c>
      <c r="B2" s="16" t="s">
        <v>65</v>
      </c>
    </row>
    <row r="3" spans="1:5" x14ac:dyDescent="0.25">
      <c r="A3" s="16" t="s">
        <v>67</v>
      </c>
      <c r="B3">
        <v>2015</v>
      </c>
      <c r="C3">
        <v>2016</v>
      </c>
      <c r="D3">
        <v>2017</v>
      </c>
      <c r="E3" t="s">
        <v>99</v>
      </c>
    </row>
    <row r="4" spans="1:5" x14ac:dyDescent="0.25">
      <c r="A4" t="s">
        <v>87</v>
      </c>
      <c r="B4" s="14">
        <v>8700</v>
      </c>
      <c r="C4" s="14">
        <v>13800</v>
      </c>
      <c r="D4" s="14">
        <v>63700</v>
      </c>
      <c r="E4" s="14">
        <v>86200</v>
      </c>
    </row>
    <row r="5" spans="1:5" x14ac:dyDescent="0.25">
      <c r="A5" t="s">
        <v>83</v>
      </c>
      <c r="B5" s="14">
        <v>10000</v>
      </c>
      <c r="C5" s="14">
        <v>29800</v>
      </c>
      <c r="D5" s="14">
        <v>35000</v>
      </c>
      <c r="E5" s="14">
        <v>74800</v>
      </c>
    </row>
    <row r="6" spans="1:5" x14ac:dyDescent="0.25">
      <c r="A6" t="s">
        <v>75</v>
      </c>
      <c r="B6" s="14">
        <v>3300</v>
      </c>
      <c r="C6" s="14">
        <v>22100</v>
      </c>
      <c r="D6" s="14">
        <v>36000</v>
      </c>
      <c r="E6" s="14">
        <v>61400</v>
      </c>
    </row>
    <row r="7" spans="1:5" x14ac:dyDescent="0.25">
      <c r="A7" t="s">
        <v>82</v>
      </c>
      <c r="B7" s="14">
        <v>1300</v>
      </c>
      <c r="C7" s="14">
        <v>21600</v>
      </c>
      <c r="D7" s="14">
        <v>36700</v>
      </c>
      <c r="E7" s="14">
        <v>59600</v>
      </c>
    </row>
    <row r="8" spans="1:5" x14ac:dyDescent="0.25">
      <c r="A8" t="s">
        <v>81</v>
      </c>
      <c r="B8" s="14">
        <v>8300</v>
      </c>
      <c r="C8" s="14">
        <v>17000</v>
      </c>
      <c r="D8" s="14">
        <v>34000</v>
      </c>
      <c r="E8" s="14">
        <v>59300</v>
      </c>
    </row>
    <row r="9" spans="1:5" x14ac:dyDescent="0.25">
      <c r="A9" t="s">
        <v>89</v>
      </c>
      <c r="B9" s="14">
        <v>300</v>
      </c>
      <c r="C9" s="14">
        <v>22100</v>
      </c>
      <c r="D9" s="14">
        <v>33700</v>
      </c>
      <c r="E9" s="14">
        <v>56100</v>
      </c>
    </row>
    <row r="10" spans="1:5" x14ac:dyDescent="0.25">
      <c r="A10" t="s">
        <v>96</v>
      </c>
      <c r="B10" s="14">
        <v>13300</v>
      </c>
      <c r="C10" s="14">
        <v>15600</v>
      </c>
      <c r="D10" s="14">
        <v>27000</v>
      </c>
      <c r="E10" s="14">
        <v>55900</v>
      </c>
    </row>
    <row r="11" spans="1:5" x14ac:dyDescent="0.25">
      <c r="A11" t="s">
        <v>92</v>
      </c>
      <c r="B11" s="14">
        <v>10000</v>
      </c>
      <c r="C11" s="14">
        <v>16700</v>
      </c>
      <c r="D11" s="14">
        <v>21800</v>
      </c>
      <c r="E11" s="14">
        <v>48500</v>
      </c>
    </row>
    <row r="12" spans="1:5" x14ac:dyDescent="0.25">
      <c r="A12" t="s">
        <v>74</v>
      </c>
      <c r="B12" s="14">
        <v>13300</v>
      </c>
      <c r="C12" s="14">
        <v>12000</v>
      </c>
      <c r="D12" s="14">
        <v>23000</v>
      </c>
      <c r="E12" s="14">
        <v>48300</v>
      </c>
    </row>
    <row r="13" spans="1:5" x14ac:dyDescent="0.25">
      <c r="A13" t="s">
        <v>91</v>
      </c>
      <c r="B13" s="14">
        <v>700</v>
      </c>
      <c r="C13" s="14">
        <v>16400</v>
      </c>
      <c r="D13" s="14">
        <v>30700</v>
      </c>
      <c r="E13" s="14">
        <v>47800</v>
      </c>
    </row>
    <row r="14" spans="1:5" x14ac:dyDescent="0.25">
      <c r="A14" t="s">
        <v>70</v>
      </c>
      <c r="B14" s="14">
        <v>8700</v>
      </c>
      <c r="C14" s="14">
        <v>16400</v>
      </c>
      <c r="D14" s="14">
        <v>20000</v>
      </c>
      <c r="E14" s="14">
        <v>45100</v>
      </c>
    </row>
    <row r="15" spans="1:5" x14ac:dyDescent="0.25">
      <c r="A15" t="s">
        <v>86</v>
      </c>
      <c r="B15" s="14">
        <v>3500</v>
      </c>
      <c r="C15" s="14">
        <v>8300</v>
      </c>
      <c r="D15" s="14">
        <v>16900</v>
      </c>
      <c r="E15" s="14">
        <v>28700</v>
      </c>
    </row>
    <row r="16" spans="1:5" x14ac:dyDescent="0.25">
      <c r="A16" t="s">
        <v>88</v>
      </c>
      <c r="B16" s="14">
        <v>3200</v>
      </c>
      <c r="C16" s="14">
        <v>6700</v>
      </c>
      <c r="D16" s="14">
        <v>9300</v>
      </c>
      <c r="E16" s="14">
        <v>19200</v>
      </c>
    </row>
    <row r="17" spans="1:5" x14ac:dyDescent="0.25">
      <c r="A17" t="s">
        <v>85</v>
      </c>
      <c r="B17" s="14">
        <v>6700</v>
      </c>
      <c r="C17" s="14">
        <v>3800</v>
      </c>
      <c r="D17" s="14">
        <v>7500</v>
      </c>
      <c r="E17" s="14">
        <v>18000</v>
      </c>
    </row>
    <row r="18" spans="1:5" x14ac:dyDescent="0.25">
      <c r="A18" t="s">
        <v>79</v>
      </c>
      <c r="B18" s="14">
        <v>3100</v>
      </c>
      <c r="C18" s="14">
        <v>6300</v>
      </c>
      <c r="D18" s="14">
        <v>8500</v>
      </c>
      <c r="E18" s="14">
        <v>17900</v>
      </c>
    </row>
    <row r="19" spans="1:5" x14ac:dyDescent="0.25">
      <c r="A19" t="s">
        <v>77</v>
      </c>
      <c r="B19" s="14">
        <v>2300</v>
      </c>
      <c r="C19" s="14">
        <v>3400</v>
      </c>
      <c r="D19" s="14">
        <v>5400</v>
      </c>
      <c r="E19" s="14">
        <v>11100</v>
      </c>
    </row>
    <row r="20" spans="1:5" x14ac:dyDescent="0.25">
      <c r="A20" t="s">
        <v>76</v>
      </c>
      <c r="B20" s="14">
        <v>2300</v>
      </c>
      <c r="C20" s="14">
        <v>3300</v>
      </c>
      <c r="D20" s="14">
        <v>5000</v>
      </c>
      <c r="E20" s="14">
        <v>10600</v>
      </c>
    </row>
    <row r="21" spans="1:5" x14ac:dyDescent="0.25">
      <c r="A21" t="s">
        <v>72</v>
      </c>
      <c r="B21" s="14">
        <v>3700</v>
      </c>
      <c r="C21" s="14">
        <v>2300</v>
      </c>
      <c r="D21" s="14">
        <v>3700</v>
      </c>
      <c r="E21" s="14">
        <v>9700</v>
      </c>
    </row>
    <row r="22" spans="1:5" x14ac:dyDescent="0.25">
      <c r="A22" t="s">
        <v>95</v>
      </c>
      <c r="B22" s="14">
        <v>800</v>
      </c>
      <c r="C22" s="14">
        <v>1500</v>
      </c>
      <c r="D22" s="14">
        <v>6200</v>
      </c>
      <c r="E22" s="14">
        <v>8500</v>
      </c>
    </row>
    <row r="23" spans="1:5" x14ac:dyDescent="0.25">
      <c r="A23" t="s">
        <v>97</v>
      </c>
      <c r="B23" s="14">
        <v>2100</v>
      </c>
      <c r="C23" s="14">
        <v>2800</v>
      </c>
      <c r="D23" s="14">
        <v>3100</v>
      </c>
      <c r="E23" s="14">
        <v>8000</v>
      </c>
    </row>
    <row r="24" spans="1:5" x14ac:dyDescent="0.25">
      <c r="A24" t="s">
        <v>73</v>
      </c>
      <c r="B24" s="14">
        <v>700</v>
      </c>
      <c r="C24" s="14">
        <v>2900</v>
      </c>
      <c r="D24" s="14">
        <v>4000</v>
      </c>
      <c r="E24" s="14">
        <v>7600</v>
      </c>
    </row>
    <row r="25" spans="1:5" x14ac:dyDescent="0.25">
      <c r="A25" t="s">
        <v>94</v>
      </c>
      <c r="B25" s="14">
        <v>3300</v>
      </c>
      <c r="C25" s="14">
        <v>1300</v>
      </c>
      <c r="D25" s="14">
        <v>2400</v>
      </c>
      <c r="E25" s="14">
        <v>7000</v>
      </c>
    </row>
    <row r="26" spans="1:5" x14ac:dyDescent="0.25">
      <c r="A26" t="s">
        <v>93</v>
      </c>
      <c r="B26" s="14">
        <v>500</v>
      </c>
      <c r="C26" s="14">
        <v>1800</v>
      </c>
      <c r="D26" s="14">
        <v>3100</v>
      </c>
      <c r="E26" s="14">
        <v>5400</v>
      </c>
    </row>
    <row r="27" spans="1:5" x14ac:dyDescent="0.25">
      <c r="A27" t="s">
        <v>84</v>
      </c>
      <c r="B27" s="14">
        <v>500</v>
      </c>
      <c r="C27" s="14">
        <v>1000</v>
      </c>
      <c r="D27" s="14">
        <v>600</v>
      </c>
      <c r="E27" s="14">
        <v>2100</v>
      </c>
    </row>
    <row r="28" spans="1:5" x14ac:dyDescent="0.25">
      <c r="A28" t="s">
        <v>90</v>
      </c>
      <c r="B28" s="14">
        <v>500</v>
      </c>
      <c r="C28" s="14">
        <v>400</v>
      </c>
      <c r="D28" s="14">
        <v>600</v>
      </c>
      <c r="E28" s="14">
        <v>1500</v>
      </c>
    </row>
    <row r="29" spans="1:5" x14ac:dyDescent="0.25">
      <c r="A29" t="s">
        <v>99</v>
      </c>
      <c r="B29" s="14">
        <v>111100</v>
      </c>
      <c r="C29" s="14">
        <v>249300</v>
      </c>
      <c r="D29" s="14">
        <v>437900</v>
      </c>
      <c r="E29" s="14">
        <v>798300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1. Panduan</vt:lpstr>
      <vt:lpstr>2. Latihan VLOOKUP</vt:lpstr>
      <vt:lpstr>3. Latihan HLOOKUP</vt:lpstr>
      <vt:lpstr>4. Latihan XLOOKUP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2026-08-14T16:40:13Z</dcterms:created>
  <dcterms:modified xsi:type="dcterms:W3CDTF">2026-08-14T17:15:35Z</dcterms:modified>
</cp:coreProperties>
</file>