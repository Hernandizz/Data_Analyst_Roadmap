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Project\Data-Analyst\Exam\Excel\advanced_assessment_project\"/>
    </mc:Choice>
  </mc:AlternateContent>
  <xr:revisionPtr revIDLastSave="0" documentId="13_ncr:1_{59A8E13B-F97A-4E0D-B2F6-BDDED7910EDA}" xr6:coauthVersionLast="47" xr6:coauthVersionMax="47" xr10:uidLastSave="{00000000-0000-0000-0000-000000000000}"/>
  <bookViews>
    <workbookView xWindow="-120" yWindow="-120" windowWidth="20730" windowHeight="11160" xr2:uid="{56521A79-FDF7-45C8-BAA3-ABC64B3F8849}"/>
  </bookViews>
  <sheets>
    <sheet name="Raw_Transactions_2024" sheetId="1" r:id="rId1"/>
  </sheets>
  <externalReferences>
    <externalReference r:id="rId2"/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 a="1"/>
  <c r="AD2" i="1" s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2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3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2" i="1"/>
  <c r="P3" i="1"/>
  <c r="P4" i="1"/>
  <c r="P5" i="1"/>
  <c r="R5" i="1" s="1"/>
  <c r="P6" i="1"/>
  <c r="Q6" i="1" s="1"/>
  <c r="P7" i="1"/>
  <c r="P8" i="1"/>
  <c r="P9" i="1"/>
  <c r="R9" i="1" s="1"/>
  <c r="P10" i="1"/>
  <c r="Q10" i="1" s="1"/>
  <c r="P11" i="1"/>
  <c r="P12" i="1"/>
  <c r="P13" i="1"/>
  <c r="R13" i="1" s="1"/>
  <c r="P14" i="1"/>
  <c r="Q14" i="1" s="1"/>
  <c r="P15" i="1"/>
  <c r="P16" i="1"/>
  <c r="P17" i="1"/>
  <c r="R17" i="1" s="1"/>
  <c r="P18" i="1"/>
  <c r="Q18" i="1" s="1"/>
  <c r="P19" i="1"/>
  <c r="P20" i="1"/>
  <c r="P21" i="1"/>
  <c r="R21" i="1" s="1"/>
  <c r="P22" i="1"/>
  <c r="Q22" i="1" s="1"/>
  <c r="P23" i="1"/>
  <c r="P24" i="1"/>
  <c r="P25" i="1"/>
  <c r="R25" i="1" s="1"/>
  <c r="P26" i="1"/>
  <c r="Q26" i="1" s="1"/>
  <c r="P27" i="1"/>
  <c r="P28" i="1"/>
  <c r="P29" i="1"/>
  <c r="R29" i="1" s="1"/>
  <c r="P30" i="1"/>
  <c r="Q30" i="1" s="1"/>
  <c r="P31" i="1"/>
  <c r="P32" i="1"/>
  <c r="P33" i="1"/>
  <c r="R33" i="1" s="1"/>
  <c r="P34" i="1"/>
  <c r="Q34" i="1" s="1"/>
  <c r="P35" i="1"/>
  <c r="P36" i="1"/>
  <c r="P37" i="1"/>
  <c r="R37" i="1" s="1"/>
  <c r="P38" i="1"/>
  <c r="Q38" i="1" s="1"/>
  <c r="P39" i="1"/>
  <c r="P40" i="1"/>
  <c r="P41" i="1"/>
  <c r="R41" i="1" s="1"/>
  <c r="P42" i="1"/>
  <c r="Q42" i="1" s="1"/>
  <c r="P43" i="1"/>
  <c r="P44" i="1"/>
  <c r="P45" i="1"/>
  <c r="R45" i="1" s="1"/>
  <c r="P46" i="1"/>
  <c r="Q46" i="1" s="1"/>
  <c r="P47" i="1"/>
  <c r="P48" i="1"/>
  <c r="P49" i="1"/>
  <c r="R49" i="1" s="1"/>
  <c r="P50" i="1"/>
  <c r="Q50" i="1" s="1"/>
  <c r="P51" i="1"/>
  <c r="P52" i="1"/>
  <c r="P53" i="1"/>
  <c r="R53" i="1" s="1"/>
  <c r="P54" i="1"/>
  <c r="Q54" i="1" s="1"/>
  <c r="P55" i="1"/>
  <c r="P56" i="1"/>
  <c r="P57" i="1"/>
  <c r="R57" i="1" s="1"/>
  <c r="P58" i="1"/>
  <c r="Q58" i="1" s="1"/>
  <c r="P59" i="1"/>
  <c r="P60" i="1"/>
  <c r="P61" i="1"/>
  <c r="R61" i="1" s="1"/>
  <c r="P62" i="1"/>
  <c r="Q62" i="1" s="1"/>
  <c r="P63" i="1"/>
  <c r="P64" i="1"/>
  <c r="P65" i="1"/>
  <c r="R65" i="1" s="1"/>
  <c r="P66" i="1"/>
  <c r="Q66" i="1" s="1"/>
  <c r="P67" i="1"/>
  <c r="P68" i="1"/>
  <c r="P69" i="1"/>
  <c r="R69" i="1" s="1"/>
  <c r="P70" i="1"/>
  <c r="Q70" i="1" s="1"/>
  <c r="P71" i="1"/>
  <c r="P72" i="1"/>
  <c r="P73" i="1"/>
  <c r="R73" i="1" s="1"/>
  <c r="P74" i="1"/>
  <c r="Q74" i="1" s="1"/>
  <c r="P75" i="1"/>
  <c r="P76" i="1"/>
  <c r="P77" i="1"/>
  <c r="R77" i="1" s="1"/>
  <c r="P78" i="1"/>
  <c r="Q78" i="1" s="1"/>
  <c r="P79" i="1"/>
  <c r="P80" i="1"/>
  <c r="P81" i="1"/>
  <c r="R81" i="1" s="1"/>
  <c r="P82" i="1"/>
  <c r="Q82" i="1" s="1"/>
  <c r="P83" i="1"/>
  <c r="P84" i="1"/>
  <c r="P85" i="1"/>
  <c r="R85" i="1" s="1"/>
  <c r="P86" i="1"/>
  <c r="Q86" i="1" s="1"/>
  <c r="P87" i="1"/>
  <c r="P88" i="1"/>
  <c r="P89" i="1"/>
  <c r="R89" i="1" s="1"/>
  <c r="P90" i="1"/>
  <c r="Q90" i="1" s="1"/>
  <c r="P91" i="1"/>
  <c r="P92" i="1"/>
  <c r="P93" i="1"/>
  <c r="R93" i="1" s="1"/>
  <c r="P94" i="1"/>
  <c r="Q94" i="1" s="1"/>
  <c r="P95" i="1"/>
  <c r="P96" i="1"/>
  <c r="P97" i="1"/>
  <c r="R97" i="1" s="1"/>
  <c r="P98" i="1"/>
  <c r="Q98" i="1" s="1"/>
  <c r="P99" i="1"/>
  <c r="P100" i="1"/>
  <c r="P101" i="1"/>
  <c r="R101" i="1" s="1"/>
  <c r="P2" i="1"/>
  <c r="R2" i="1" s="1"/>
  <c r="R4" i="1"/>
  <c r="R7" i="1"/>
  <c r="R8" i="1"/>
  <c r="R11" i="1"/>
  <c r="R12" i="1"/>
  <c r="R15" i="1"/>
  <c r="R16" i="1"/>
  <c r="R19" i="1"/>
  <c r="R20" i="1"/>
  <c r="R23" i="1"/>
  <c r="R24" i="1"/>
  <c r="R27" i="1"/>
  <c r="R28" i="1"/>
  <c r="R31" i="1"/>
  <c r="R32" i="1"/>
  <c r="R35" i="1"/>
  <c r="R36" i="1"/>
  <c r="R39" i="1"/>
  <c r="R40" i="1"/>
  <c r="R43" i="1"/>
  <c r="R44" i="1"/>
  <c r="R47" i="1"/>
  <c r="R48" i="1"/>
  <c r="R51" i="1"/>
  <c r="R52" i="1"/>
  <c r="R55" i="1"/>
  <c r="R56" i="1"/>
  <c r="R59" i="1"/>
  <c r="R60" i="1"/>
  <c r="R63" i="1"/>
  <c r="R64" i="1"/>
  <c r="R67" i="1"/>
  <c r="R68" i="1"/>
  <c r="R71" i="1"/>
  <c r="R72" i="1"/>
  <c r="R75" i="1"/>
  <c r="R76" i="1"/>
  <c r="R79" i="1"/>
  <c r="R80" i="1"/>
  <c r="R83" i="1"/>
  <c r="R84" i="1"/>
  <c r="R87" i="1"/>
  <c r="R88" i="1"/>
  <c r="R91" i="1"/>
  <c r="R92" i="1"/>
  <c r="R95" i="1"/>
  <c r="R96" i="1"/>
  <c r="R99" i="1"/>
  <c r="R100" i="1"/>
  <c r="R3" i="1"/>
  <c r="Q4" i="1"/>
  <c r="Q5" i="1"/>
  <c r="Q7" i="1"/>
  <c r="Q8" i="1"/>
  <c r="Q9" i="1"/>
  <c r="Q11" i="1"/>
  <c r="Q12" i="1"/>
  <c r="Q13" i="1"/>
  <c r="Q15" i="1"/>
  <c r="Q16" i="1"/>
  <c r="Q17" i="1"/>
  <c r="Q19" i="1"/>
  <c r="Q20" i="1"/>
  <c r="Q21" i="1"/>
  <c r="Q23" i="1"/>
  <c r="Q24" i="1"/>
  <c r="Q25" i="1"/>
  <c r="Q27" i="1"/>
  <c r="Q28" i="1"/>
  <c r="Q29" i="1"/>
  <c r="Q31" i="1"/>
  <c r="Q32" i="1"/>
  <c r="Q33" i="1"/>
  <c r="Q35" i="1"/>
  <c r="Q36" i="1"/>
  <c r="Q37" i="1"/>
  <c r="Q39" i="1"/>
  <c r="Q40" i="1"/>
  <c r="Q41" i="1"/>
  <c r="Q43" i="1"/>
  <c r="Q44" i="1"/>
  <c r="Q45" i="1"/>
  <c r="Q47" i="1"/>
  <c r="Q48" i="1"/>
  <c r="Q49" i="1"/>
  <c r="Q51" i="1"/>
  <c r="Q52" i="1"/>
  <c r="Q53" i="1"/>
  <c r="Q55" i="1"/>
  <c r="Q56" i="1"/>
  <c r="Q57" i="1"/>
  <c r="Q59" i="1"/>
  <c r="Q60" i="1"/>
  <c r="Q61" i="1"/>
  <c r="Q63" i="1"/>
  <c r="Q64" i="1"/>
  <c r="Q65" i="1"/>
  <c r="Q67" i="1"/>
  <c r="Q68" i="1"/>
  <c r="Q69" i="1"/>
  <c r="Q71" i="1"/>
  <c r="Q72" i="1"/>
  <c r="Q73" i="1"/>
  <c r="Q75" i="1"/>
  <c r="Q76" i="1"/>
  <c r="Q77" i="1"/>
  <c r="Q79" i="1"/>
  <c r="Q80" i="1"/>
  <c r="Q81" i="1"/>
  <c r="Q83" i="1"/>
  <c r="Q84" i="1"/>
  <c r="Q85" i="1"/>
  <c r="Q87" i="1"/>
  <c r="Q88" i="1"/>
  <c r="Q89" i="1"/>
  <c r="Q91" i="1"/>
  <c r="Q92" i="1"/>
  <c r="Q93" i="1"/>
  <c r="Q95" i="1"/>
  <c r="Q96" i="1"/>
  <c r="Q97" i="1"/>
  <c r="Q99" i="1"/>
  <c r="Q100" i="1"/>
  <c r="Q101" i="1"/>
  <c r="Q3" i="1"/>
  <c r="Q2" i="1"/>
  <c r="O2" i="1"/>
  <c r="O3" i="1"/>
  <c r="O5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30" i="1"/>
  <c r="O31" i="1"/>
  <c r="O32" i="1"/>
  <c r="O33" i="1"/>
  <c r="O35" i="1"/>
  <c r="O37" i="1"/>
  <c r="O38" i="1"/>
  <c r="O39" i="1"/>
  <c r="O40" i="1"/>
  <c r="O41" i="1"/>
  <c r="O42" i="1"/>
  <c r="O43" i="1"/>
  <c r="O44" i="1"/>
  <c r="O45" i="1"/>
  <c r="O47" i="1"/>
  <c r="O48" i="1"/>
  <c r="O49" i="1"/>
  <c r="O52" i="1"/>
  <c r="O53" i="1"/>
  <c r="O54" i="1"/>
  <c r="O55" i="1"/>
  <c r="O56" i="1"/>
  <c r="O57" i="1"/>
  <c r="O58" i="1"/>
  <c r="O59" i="1"/>
  <c r="O60" i="1"/>
  <c r="O61" i="1"/>
  <c r="O62" i="1"/>
  <c r="O64" i="1"/>
  <c r="O65" i="1"/>
  <c r="O66" i="1"/>
  <c r="O67" i="1"/>
  <c r="O68" i="1"/>
  <c r="O69" i="1"/>
  <c r="O70" i="1"/>
  <c r="O71" i="1"/>
  <c r="O72" i="1"/>
  <c r="O73" i="1"/>
  <c r="O74" i="1"/>
  <c r="O75" i="1"/>
  <c r="O77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1" i="1"/>
  <c r="O2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O34" i="1" l="1"/>
  <c r="O4" i="1"/>
  <c r="O6" i="1"/>
  <c r="O46" i="1"/>
  <c r="O50" i="1"/>
  <c r="O76" i="1"/>
  <c r="O100" i="1"/>
  <c r="O78" i="1"/>
  <c r="R98" i="1"/>
  <c r="R94" i="1"/>
  <c r="R90" i="1"/>
  <c r="R86" i="1"/>
  <c r="R82" i="1"/>
  <c r="R78" i="1"/>
  <c r="R74" i="1"/>
  <c r="R70" i="1"/>
  <c r="R66" i="1"/>
  <c r="R62" i="1"/>
  <c r="R58" i="1"/>
  <c r="R54" i="1"/>
  <c r="R50" i="1"/>
  <c r="R46" i="1"/>
  <c r="R42" i="1"/>
  <c r="R38" i="1"/>
  <c r="R34" i="1"/>
  <c r="R30" i="1"/>
  <c r="R26" i="1"/>
  <c r="R22" i="1"/>
  <c r="R18" i="1"/>
  <c r="R14" i="1"/>
  <c r="R10" i="1"/>
  <c r="R6" i="1"/>
  <c r="O36" i="1"/>
  <c r="O11" i="1"/>
  <c r="O63" i="1"/>
  <c r="O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<sst xmlns="http://schemas.openxmlformats.org/spreadsheetml/2006/main" count="830" uniqueCount="241">
  <si>
    <t>Trx_ID</t>
  </si>
  <si>
    <t>Order_Date</t>
  </si>
  <si>
    <t>Cust_ID_Raw</t>
  </si>
  <si>
    <t>Raw_SKU</t>
  </si>
  <si>
    <t>Qty</t>
  </si>
  <si>
    <t>Voucher_Code</t>
  </si>
  <si>
    <t>Service_Key</t>
  </si>
  <si>
    <t>Ship_Date</t>
  </si>
  <si>
    <t>Delivery_Date</t>
  </si>
  <si>
    <t>Sales_Rep</t>
  </si>
  <si>
    <t>Channel</t>
  </si>
  <si>
    <t>Payment_Method</t>
  </si>
  <si>
    <t>TRX-2024-0001</t>
  </si>
  <si>
    <t>CUST-002</t>
  </si>
  <si>
    <t>PRD-ELEC-001</t>
  </si>
  <si>
    <t>FLAT50K</t>
  </si>
  <si>
    <t>SISEPAT-BEST</t>
  </si>
  <si>
    <t>SR-102</t>
  </si>
  <si>
    <t>Tokopedia</t>
  </si>
  <si>
    <t>PayLater</t>
  </si>
  <si>
    <t>TRX-2024-0002</t>
  </si>
  <si>
    <t>CUST-001</t>
  </si>
  <si>
    <t>NEW-PRD-ELEC-002-2024</t>
  </si>
  <si>
    <t>-</t>
  </si>
  <si>
    <t>JNT-REG</t>
  </si>
  <si>
    <t>SR-101</t>
  </si>
  <si>
    <t>Offline Store</t>
  </si>
  <si>
    <t>E-Wallet</t>
  </si>
  <si>
    <t>TRX-2024-0003</t>
  </si>
  <si>
    <t>CUST-005</t>
  </si>
  <si>
    <t>PRD-BEAU-001-v1</t>
  </si>
  <si>
    <t>SR-104</t>
  </si>
  <si>
    <t>Website</t>
  </si>
  <si>
    <t>Bank Transfer</t>
  </si>
  <si>
    <t>TRX-2024-0004</t>
  </si>
  <si>
    <t xml:space="preserve"> CUST-002 </t>
  </si>
  <si>
    <t>OLD_PRD-FASH-002</t>
  </si>
  <si>
    <t>JNE-REG</t>
  </si>
  <si>
    <t>SR-103</t>
  </si>
  <si>
    <t>COD</t>
  </si>
  <si>
    <t>TRX-2024-0005</t>
  </si>
  <si>
    <t>PRD-BEAU-002</t>
  </si>
  <si>
    <t>JNE-YES</t>
  </si>
  <si>
    <t>Credit Card</t>
  </si>
  <si>
    <t>TRX-2024-0006</t>
  </si>
  <si>
    <t>CUST-004</t>
  </si>
  <si>
    <t>OLD_PRD-BEAU-002</t>
  </si>
  <si>
    <t>FREESHIP</t>
  </si>
  <si>
    <t>Shopee</t>
  </si>
  <si>
    <t>TRX-2024-0007</t>
  </si>
  <si>
    <t>PRD-HOME-001-2024</t>
  </si>
  <si>
    <t>TRX-2024-0008</t>
  </si>
  <si>
    <t xml:space="preserve"> CUST-006 </t>
  </si>
  <si>
    <t>PRD-BEAU-002-v1</t>
  </si>
  <si>
    <t>JNT-EXP</t>
  </si>
  <si>
    <t>TRX-2024-0009</t>
  </si>
  <si>
    <t>CUST-006</t>
  </si>
  <si>
    <t>PRD-ELEC-004</t>
  </si>
  <si>
    <t>TRX-2024-0010</t>
  </si>
  <si>
    <t>PRD-HOME-003</t>
  </si>
  <si>
    <t>TRX-2024-0011</t>
  </si>
  <si>
    <t>PRD-ELEC-003-2024</t>
  </si>
  <si>
    <t>TikTok Shop</t>
  </si>
  <si>
    <t>TRX-2024-0012</t>
  </si>
  <si>
    <t xml:space="preserve"> CUST-001 </t>
  </si>
  <si>
    <t>PRD-HOME-002-v1</t>
  </si>
  <si>
    <t>TRX-2024-0013</t>
  </si>
  <si>
    <t>SISEPAT-GOKIL</t>
  </si>
  <si>
    <t>TRX-2024-0014</t>
  </si>
  <si>
    <t>PROD_PRD-ELEC-003-2024</t>
  </si>
  <si>
    <t>SR-105</t>
  </si>
  <si>
    <t>TRX-2024-0015</t>
  </si>
  <si>
    <t>PRD-BEAU-003</t>
  </si>
  <si>
    <t>DISC10</t>
  </si>
  <si>
    <t>TRX-2024-0016</t>
  </si>
  <si>
    <t>PRD-BEAU-001-2024</t>
  </si>
  <si>
    <t>TRX-2024-0017</t>
  </si>
  <si>
    <t>TRX-2024-0018</t>
  </si>
  <si>
    <t>OLD_PRD-ELEC-004</t>
  </si>
  <si>
    <t>TRX-2024-0019</t>
  </si>
  <si>
    <t>OLD_PRD-ELEC-004-v1</t>
  </si>
  <si>
    <t>TRX-2024-0020</t>
  </si>
  <si>
    <t xml:space="preserve"> CUST-010 </t>
  </si>
  <si>
    <t>TRX-2024-0021</t>
  </si>
  <si>
    <t>CUST-007</t>
  </si>
  <si>
    <t>PRD-FASH-002</t>
  </si>
  <si>
    <t>TRX-2024-0022</t>
  </si>
  <si>
    <t>PRD-FASH-004-2024</t>
  </si>
  <si>
    <t>TRX-2024-0023</t>
  </si>
  <si>
    <t>TRX-2024-0024</t>
  </si>
  <si>
    <t xml:space="preserve"> CUST-007 </t>
  </si>
  <si>
    <t>OLD_PRD-BEAU-003-2024</t>
  </si>
  <si>
    <t>TRX-2024-0025</t>
  </si>
  <si>
    <t>CUST-008</t>
  </si>
  <si>
    <t>NEW-PRD-ELEC-003</t>
  </si>
  <si>
    <t>TRX-2024-0026</t>
  </si>
  <si>
    <t>PRD-FASH-004</t>
  </si>
  <si>
    <t>TRX-2024-0027</t>
  </si>
  <si>
    <t>TRX-2024-0028</t>
  </si>
  <si>
    <t xml:space="preserve"> CUST-009 </t>
  </si>
  <si>
    <t>PROD_PRD-FASH-001-2024</t>
  </si>
  <si>
    <t>TRX-2024-0029</t>
  </si>
  <si>
    <t>TRX-2024-0030</t>
  </si>
  <si>
    <t>TRX-2024-0031</t>
  </si>
  <si>
    <t>NEW-PRD-BEAU-003</t>
  </si>
  <si>
    <t>TRX-2024-0032</t>
  </si>
  <si>
    <t>TRX-2024-0033</t>
  </si>
  <si>
    <t>OLD_PRD-ELEC-001</t>
  </si>
  <si>
    <t>TRX-2024-0034</t>
  </si>
  <si>
    <t>PRD-BEAU-003-2024</t>
  </si>
  <si>
    <t>TRX-2024-0035</t>
  </si>
  <si>
    <t>PRD-FASH-001-v1</t>
  </si>
  <si>
    <t>TRX-2024-0036</t>
  </si>
  <si>
    <t xml:space="preserve"> CUST-003 </t>
  </si>
  <si>
    <t>TRX-2024-0037</t>
  </si>
  <si>
    <t>PRD-FASH-002-v1</t>
  </si>
  <si>
    <t>TRX-2024-0038</t>
  </si>
  <si>
    <t>PROD_PRD-FASH-002</t>
  </si>
  <si>
    <t>TRX-2024-0039</t>
  </si>
  <si>
    <t>PROD_PRD-ELEC-002-2024</t>
  </si>
  <si>
    <t>DISC20MAX30K</t>
  </si>
  <si>
    <t>TRX-2024-0040</t>
  </si>
  <si>
    <t>OLD_PRD-FASH-004</t>
  </si>
  <si>
    <t>TRX-2024-0041</t>
  </si>
  <si>
    <t>TRX-2024-0042</t>
  </si>
  <si>
    <t>PROD_PRD-HOME-003</t>
  </si>
  <si>
    <t>TRX-2024-0043</t>
  </si>
  <si>
    <t>PROD_PRD-ELEC-005-2024</t>
  </si>
  <si>
    <t>TRX-2024-0044</t>
  </si>
  <si>
    <t xml:space="preserve"> CUST-004 </t>
  </si>
  <si>
    <t>TRX-2024-0045</t>
  </si>
  <si>
    <t>PRD-ELEC-004-2024</t>
  </si>
  <si>
    <t>TRX-2024-0046</t>
  </si>
  <si>
    <t>CUST-010</t>
  </si>
  <si>
    <t>TRX-2024-0047</t>
  </si>
  <si>
    <t>CUST-003</t>
  </si>
  <si>
    <t>PRD-BEAU-001</t>
  </si>
  <si>
    <t>TRX-2024-0048</t>
  </si>
  <si>
    <t>TRX-2024-0049</t>
  </si>
  <si>
    <t>NEW-PRD-BEAU-001</t>
  </si>
  <si>
    <t>TRX-2024-0050</t>
  </si>
  <si>
    <t>PROD_PRD-ELEC-004</t>
  </si>
  <si>
    <t>TRX-2024-0051</t>
  </si>
  <si>
    <t>PRD-ELEC-002</t>
  </si>
  <si>
    <t>TRX-2024-0052</t>
  </si>
  <si>
    <t>OLD_PRD-HOME-003</t>
  </si>
  <si>
    <t>TRX-2024-0053</t>
  </si>
  <si>
    <t>CUST-009</t>
  </si>
  <si>
    <t>TRX-2024-0054</t>
  </si>
  <si>
    <t>NEW-PRD-HOME-003</t>
  </si>
  <si>
    <t>TRX-2024-0055</t>
  </si>
  <si>
    <t>OLD_PRD-ELEC-003</t>
  </si>
  <si>
    <t>TRX-2024-0056</t>
  </si>
  <si>
    <t>PRD-ELEC-005-v1</t>
  </si>
  <si>
    <t>TRX-2024-0057</t>
  </si>
  <si>
    <t>OLD_PRD-BEAU-001-2024</t>
  </si>
  <si>
    <t>TRX-2024-0058</t>
  </si>
  <si>
    <t>NEW-PRD-HOME-001</t>
  </si>
  <si>
    <t>TRX-2024-0059</t>
  </si>
  <si>
    <t>PROD_PRD-ELEC-001</t>
  </si>
  <si>
    <t>TRX-2024-0060</t>
  </si>
  <si>
    <t>OLD_PRD-BEAU-001</t>
  </si>
  <si>
    <t>TRX-2024-0061</t>
  </si>
  <si>
    <t>TRX-2024-0062</t>
  </si>
  <si>
    <t>PRD-HOME-001</t>
  </si>
  <si>
    <t>TRX-2024-0063</t>
  </si>
  <si>
    <t>TRX-2024-0064</t>
  </si>
  <si>
    <t>PRD-FASH-001</t>
  </si>
  <si>
    <t>TRX-2024-0065</t>
  </si>
  <si>
    <t>TRX-2024-0066</t>
  </si>
  <si>
    <t>PRD-FASH-002-2024</t>
  </si>
  <si>
    <t>TRX-2024-0067</t>
  </si>
  <si>
    <t>TRX-2024-0068</t>
  </si>
  <si>
    <t>NEW-PRD-ELEC-004</t>
  </si>
  <si>
    <t>TRX-2024-0069</t>
  </si>
  <si>
    <t>NEW-PRD-FASH-001</t>
  </si>
  <si>
    <t>TRX-2024-0070</t>
  </si>
  <si>
    <t>PRD-HOME-002</t>
  </si>
  <si>
    <t>TRX-2024-0071</t>
  </si>
  <si>
    <t>TRX-2024-0072</t>
  </si>
  <si>
    <t>TRX-2024-0073</t>
  </si>
  <si>
    <t>PRD-ELEC-005</t>
  </si>
  <si>
    <t>TRX-2024-0074</t>
  </si>
  <si>
    <t>NEW-PRD-ELEC-003-2024</t>
  </si>
  <si>
    <t>TRX-2024-0075</t>
  </si>
  <si>
    <t>NEW-PRD-ELEC-001</t>
  </si>
  <si>
    <t>TRX-2024-0076</t>
  </si>
  <si>
    <t>TRX-2024-0077</t>
  </si>
  <si>
    <t>TRX-2024-0078</t>
  </si>
  <si>
    <t>OLD_PRD-FASH-003</t>
  </si>
  <si>
    <t>TRX-2024-0079</t>
  </si>
  <si>
    <t>OLD_PRD-HOME-001</t>
  </si>
  <si>
    <t>TRX-2024-0080</t>
  </si>
  <si>
    <t>TRX-2024-0081</t>
  </si>
  <si>
    <t>TRX-2024-0082</t>
  </si>
  <si>
    <t>TRX-2024-0083</t>
  </si>
  <si>
    <t>TRX-2024-0084</t>
  </si>
  <si>
    <t xml:space="preserve"> CUST-008 </t>
  </si>
  <si>
    <t>OLD_PRD-ELEC-002</t>
  </si>
  <si>
    <t>TRX-2024-0085</t>
  </si>
  <si>
    <t>TRX-2024-0086</t>
  </si>
  <si>
    <t>PRD-FASH-003-2024</t>
  </si>
  <si>
    <t>TRX-2024-0087</t>
  </si>
  <si>
    <t>TRX-2024-0088</t>
  </si>
  <si>
    <t>PROD_PRD-FASH-001</t>
  </si>
  <si>
    <t>TRX-2024-0089</t>
  </si>
  <si>
    <t>TRX-2024-0090</t>
  </si>
  <si>
    <t>TRX-2024-0091</t>
  </si>
  <si>
    <t>PROD_PRD-BEAU-001</t>
  </si>
  <si>
    <t>TRX-2024-0092</t>
  </si>
  <si>
    <t>PRD-ELEC-001-v1</t>
  </si>
  <si>
    <t>TRX-2024-0093</t>
  </si>
  <si>
    <t>PROD_PRD-HOME-003-v1</t>
  </si>
  <si>
    <t>TRX-2024-0094</t>
  </si>
  <si>
    <t>TRX-2024-0095</t>
  </si>
  <si>
    <t>TRX-2024-0096</t>
  </si>
  <si>
    <t>PROD_PRD-FASH-003</t>
  </si>
  <si>
    <t>TRX-2024-0097</t>
  </si>
  <si>
    <t>NEW-PRD-ELEC-002</t>
  </si>
  <si>
    <t>TRX-2024-0098</t>
  </si>
  <si>
    <t>TRX-2024-0099</t>
  </si>
  <si>
    <t>TRX-2024-0100</t>
  </si>
  <si>
    <t>PROD_PRD-ELEC-002</t>
  </si>
  <si>
    <t>CLEAN_ID_FIX</t>
  </si>
  <si>
    <t>CLEAN_SKU</t>
  </si>
  <si>
    <t>Clean_Cust_Name</t>
  </si>
  <si>
    <t>Clean_Phone_Number</t>
  </si>
  <si>
    <t>Tracking_Code</t>
  </si>
  <si>
    <t>Product_Name</t>
  </si>
  <si>
    <t>Category</t>
  </si>
  <si>
    <t>Sub_Category</t>
  </si>
  <si>
    <t>Unit_Price</t>
  </si>
  <si>
    <t>Unit_COGS</t>
  </si>
  <si>
    <t>Weight_KG</t>
  </si>
  <si>
    <t>Customer_Region</t>
  </si>
  <si>
    <t>Membership_Tier</t>
  </si>
  <si>
    <t>Courier_Name</t>
  </si>
  <si>
    <t>Service_Type</t>
  </si>
  <si>
    <t>SLA_Days</t>
  </si>
  <si>
    <t>Base_Rate_Per_KG</t>
  </si>
  <si>
    <t>Sales_Commission_Rate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</si>
</sst>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0.E+00"/>
    <numFmt numFmtId="165" formatCode="&quot;Rp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33" borderId="10" xfId="0" applyFill="1" applyBorder="1"/>
    <xf numFmtId="164" fontId="0" fillId="0" borderId="10" xfId="0" applyNumberFormat="1" applyBorder="1"/>
    <xf numFmtId="165" fontId="0" fillId="0" borderId="10" xfId="0" applyNumberFormat="1" applyBorder="1"/>
    <xf numFmtId="1" fontId="0" fillId="0" borderId="10" xfId="0" applyNumberFormat="1" applyBorder="1"/>
    <xf numFmtId="4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cuments\Project\Data-Analyst\Exam\Excel\advanced_assessment_project\Master_Customer_Profile.xlsx" TargetMode="External"/><Relationship Id="rId1" Type="http://schemas.openxmlformats.org/officeDocument/2006/relationships/externalLinkPath" Target="Master_Customer_Profi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cuments\Project\Data-Analyst\Exam\Excel\advanced_assessment_project\Master_Product_Catalog.xlsx" TargetMode="External"/><Relationship Id="rId1" Type="http://schemas.openxmlformats.org/officeDocument/2006/relationships/externalLinkPath" Target="Master_Product_Catalo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cuments\Project\Data-Analyst\Exam\Excel\advanced_assessment_project\Master_SLA_Shipping.csv" TargetMode="External"/><Relationship Id="rId1" Type="http://schemas.openxmlformats.org/officeDocument/2006/relationships/externalLinkPath" Target="Master_SLA_Shipping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Customer_Profile"/>
    </sheetNames>
    <sheetDataSet>
      <sheetData sheetId="0">
        <row r="2">
          <cell r="A2" t="str">
            <v>CUST-001</v>
          </cell>
          <cell r="B2" t="str">
            <v xml:space="preserve">  Ahmad  Fauzi </v>
          </cell>
          <cell r="C2">
            <v>81234567890</v>
          </cell>
          <cell r="D2" t="str">
            <v>Jawa Barat</v>
          </cell>
          <cell r="G2" t="str">
            <v>VIP</v>
          </cell>
        </row>
        <row r="3">
          <cell r="A3" t="str">
            <v>CUST-002</v>
          </cell>
          <cell r="B3" t="str">
            <v xml:space="preserve">Siti Nurhaliza  </v>
          </cell>
          <cell r="C3">
            <v>628189876543</v>
          </cell>
          <cell r="D3" t="str">
            <v>DKI Jakarta</v>
          </cell>
          <cell r="G3" t="str">
            <v>Gold</v>
          </cell>
        </row>
        <row r="4">
          <cell r="A4" t="str">
            <v>CUST-003</v>
          </cell>
          <cell r="B4" t="str">
            <v xml:space="preserve">  budi santoso</v>
          </cell>
          <cell r="C4">
            <v>6285611223344</v>
          </cell>
          <cell r="D4" t="str">
            <v>Jawa Tengah</v>
          </cell>
          <cell r="G4" t="str">
            <v>Platinum</v>
          </cell>
        </row>
        <row r="5">
          <cell r="A5" t="str">
            <v>CUST-004</v>
          </cell>
          <cell r="B5" t="str">
            <v>DEWI LESTARI</v>
          </cell>
          <cell r="C5">
            <v>87855443322</v>
          </cell>
          <cell r="D5" t="str">
            <v>Jawa Timur</v>
          </cell>
          <cell r="G5" t="str">
            <v>Silver</v>
          </cell>
        </row>
        <row r="6">
          <cell r="A6" t="str">
            <v>CUST-005</v>
          </cell>
          <cell r="B6" t="str">
            <v xml:space="preserve"> hendra wijaya  </v>
          </cell>
          <cell r="C6" t="str">
            <v>8189876543</v>
          </cell>
          <cell r="D6" t="str">
            <v>DKI Jakarta</v>
          </cell>
          <cell r="G6" t="str">
            <v>Gold</v>
          </cell>
        </row>
        <row r="7">
          <cell r="A7" t="str">
            <v>CUST-006</v>
          </cell>
          <cell r="B7" t="str">
            <v xml:space="preserve">Rina  Anggraini </v>
          </cell>
          <cell r="C7">
            <v>81122334455</v>
          </cell>
          <cell r="D7" t="str">
            <v>Banten</v>
          </cell>
          <cell r="G7" t="str">
            <v>Silver</v>
          </cell>
        </row>
        <row r="8">
          <cell r="A8" t="str">
            <v>CUST-007</v>
          </cell>
          <cell r="B8" t="str">
            <v xml:space="preserve"> EKO PRASETYO </v>
          </cell>
          <cell r="C8">
            <v>628170099887</v>
          </cell>
          <cell r="D8" t="str">
            <v>DI Yogyakarta</v>
          </cell>
          <cell r="G8" t="str">
            <v>Platinum</v>
          </cell>
        </row>
        <row r="9">
          <cell r="A9" t="str">
            <v>CUST-008</v>
          </cell>
          <cell r="B9" t="str">
            <v>Maya  Indah  Sari</v>
          </cell>
          <cell r="C9">
            <v>85211447788</v>
          </cell>
          <cell r="D9" t="str">
            <v>Sumatera Utara</v>
          </cell>
          <cell r="G9" t="str">
            <v>Gold</v>
          </cell>
        </row>
        <row r="10">
          <cell r="A10" t="str">
            <v>CUST-009</v>
          </cell>
          <cell r="B10" t="str">
            <v xml:space="preserve">  rizky hidayat </v>
          </cell>
          <cell r="C10" t="str">
            <v>+62 819 3322 1100</v>
          </cell>
          <cell r="D10" t="str">
            <v>Sulawesi Selatan</v>
          </cell>
          <cell r="G10" t="str">
            <v>Silver</v>
          </cell>
        </row>
        <row r="11">
          <cell r="A11" t="str">
            <v>CUST-010</v>
          </cell>
          <cell r="B11" t="str">
            <v>VALENTINA ROSI</v>
          </cell>
          <cell r="C11">
            <v>81377665544</v>
          </cell>
          <cell r="D11" t="str">
            <v>Bali</v>
          </cell>
          <cell r="G11" t="str">
            <v>VIP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Product_Catalog"/>
    </sheetNames>
    <sheetDataSet>
      <sheetData sheetId="0">
        <row r="2">
          <cell r="A2" t="str">
            <v>PRD-ELEC-001</v>
          </cell>
          <cell r="B2" t="str">
            <v>Wireless Noise Cancelling Headphones</v>
          </cell>
          <cell r="C2" t="str">
            <v>Electronics</v>
          </cell>
          <cell r="D2" t="str">
            <v>Audio</v>
          </cell>
          <cell r="E2">
            <v>1250000</v>
          </cell>
          <cell r="F2">
            <v>850000</v>
          </cell>
          <cell r="G2" t="str">
            <v>0.8</v>
          </cell>
        </row>
        <row r="3">
          <cell r="A3" t="str">
            <v>PRD-ELEC-002</v>
          </cell>
          <cell r="B3" t="str">
            <v>Smart Watch Fitness Tracker V2</v>
          </cell>
          <cell r="C3" t="str">
            <v>Electronics</v>
          </cell>
          <cell r="D3" t="str">
            <v>Wearables</v>
          </cell>
          <cell r="E3">
            <v>850000</v>
          </cell>
          <cell r="F3">
            <v>520000</v>
          </cell>
          <cell r="G3" t="str">
            <v>0.3</v>
          </cell>
        </row>
        <row r="4">
          <cell r="A4" t="str">
            <v>PRD-ELEC-003</v>
          </cell>
          <cell r="B4" t="str">
            <v>Mechanical Gaming Keyboard RGB</v>
          </cell>
          <cell r="C4" t="str">
            <v>Electronics</v>
          </cell>
          <cell r="D4" t="str">
            <v>Computer Accessories</v>
          </cell>
          <cell r="E4">
            <v>950000</v>
          </cell>
          <cell r="F4">
            <v>600000</v>
          </cell>
          <cell r="G4" t="str">
            <v>1.2</v>
          </cell>
        </row>
        <row r="5">
          <cell r="A5" t="str">
            <v>PRD-ELEC-004</v>
          </cell>
          <cell r="B5" t="str">
            <v>Ergonomic Wireless Mouse</v>
          </cell>
          <cell r="C5" t="str">
            <v>Electronics</v>
          </cell>
          <cell r="D5" t="str">
            <v>Computer Accessories</v>
          </cell>
          <cell r="E5">
            <v>350000</v>
          </cell>
          <cell r="F5">
            <v>200000</v>
          </cell>
          <cell r="G5" t="str">
            <v>0.25</v>
          </cell>
        </row>
        <row r="6">
          <cell r="A6" t="str">
            <v>PRD-ELEC-005</v>
          </cell>
          <cell r="B6" t="str">
            <v>Ultra HD Webcam 4K Pro</v>
          </cell>
          <cell r="C6" t="str">
            <v>Electronics</v>
          </cell>
          <cell r="D6" t="str">
            <v>Computer Accessories</v>
          </cell>
          <cell r="E6">
            <v>1100000</v>
          </cell>
          <cell r="F6">
            <v>720000</v>
          </cell>
          <cell r="G6" t="str">
            <v>0.4</v>
          </cell>
        </row>
        <row r="7">
          <cell r="A7" t="str">
            <v>PRD-FASH-001</v>
          </cell>
          <cell r="B7" t="str">
            <v>Men Denim Jacket Vintage Blue</v>
          </cell>
          <cell r="C7" t="str">
            <v>Fashion</v>
          </cell>
          <cell r="D7" t="str">
            <v>Outerwear</v>
          </cell>
          <cell r="E7">
            <v>450000</v>
          </cell>
          <cell r="F7">
            <v>260000</v>
          </cell>
          <cell r="G7" t="str">
            <v>0.9</v>
          </cell>
        </row>
        <row r="8">
          <cell r="A8" t="str">
            <v>PRD-FASH-002</v>
          </cell>
          <cell r="B8" t="str">
            <v>Women Floral Summer Dress</v>
          </cell>
          <cell r="C8" t="str">
            <v>Fashion</v>
          </cell>
          <cell r="D8" t="str">
            <v>Dresses</v>
          </cell>
          <cell r="E8">
            <v>320000</v>
          </cell>
          <cell r="F8">
            <v>180000</v>
          </cell>
          <cell r="G8" t="str">
            <v>0.35</v>
          </cell>
        </row>
        <row r="9">
          <cell r="A9" t="str">
            <v>PRD-FASH-003</v>
          </cell>
          <cell r="B9" t="str">
            <v>Unisex Canvas Sneakers White</v>
          </cell>
          <cell r="C9" t="str">
            <v>Fashion</v>
          </cell>
          <cell r="D9" t="str">
            <v>Footwear</v>
          </cell>
          <cell r="E9">
            <v>520000</v>
          </cell>
          <cell r="F9">
            <v>310000</v>
          </cell>
          <cell r="G9" t="str">
            <v>1.1</v>
          </cell>
        </row>
        <row r="10">
          <cell r="A10" t="str">
            <v>PRD-FASH-004</v>
          </cell>
          <cell r="B10" t="str">
            <v>Leather Minimalist Wallet</v>
          </cell>
          <cell r="C10" t="str">
            <v>Fashion</v>
          </cell>
          <cell r="D10" t="str">
            <v>Accessories</v>
          </cell>
          <cell r="E10">
            <v>220000</v>
          </cell>
          <cell r="F10">
            <v>110000</v>
          </cell>
          <cell r="G10" t="str">
            <v>0.15</v>
          </cell>
        </row>
        <row r="11">
          <cell r="A11" t="str">
            <v>PRD-HOME-001</v>
          </cell>
          <cell r="B11" t="str">
            <v>Automatic Coffee Espresso Machine</v>
          </cell>
          <cell r="C11" t="str">
            <v>Home &amp; Living</v>
          </cell>
          <cell r="D11" t="str">
            <v>Kitchen Appliances</v>
          </cell>
          <cell r="E11">
            <v>2400000</v>
          </cell>
          <cell r="F11">
            <v>1650000</v>
          </cell>
          <cell r="G11" t="str">
            <v>4.5</v>
          </cell>
        </row>
        <row r="12">
          <cell r="A12" t="str">
            <v>PRD-HOME-002</v>
          </cell>
          <cell r="B12" t="str">
            <v>Air Purifier HEPA Filter H13</v>
          </cell>
          <cell r="C12" t="str">
            <v>Home &amp; Living</v>
          </cell>
          <cell r="D12" t="str">
            <v>Home Appliances</v>
          </cell>
          <cell r="E12">
            <v>1750000</v>
          </cell>
          <cell r="F12">
            <v>1150000</v>
          </cell>
          <cell r="G12" t="str">
            <v>3.2</v>
          </cell>
        </row>
        <row r="13">
          <cell r="A13" t="str">
            <v>PRD-HOME-003</v>
          </cell>
          <cell r="B13" t="str">
            <v>Stainless Steel Cookware Set 5pcs</v>
          </cell>
          <cell r="C13" t="str">
            <v>Home &amp; Living</v>
          </cell>
          <cell r="D13" t="str">
            <v>Kitchenware</v>
          </cell>
          <cell r="E13">
            <v>880000</v>
          </cell>
          <cell r="F13">
            <v>540000</v>
          </cell>
          <cell r="G13" t="str">
            <v>3.8</v>
          </cell>
        </row>
        <row r="14">
          <cell r="A14" t="str">
            <v>PRD-BEAU-001</v>
          </cell>
          <cell r="B14" t="str">
            <v>Hydrating Serum Vitamin C 50ml</v>
          </cell>
          <cell r="C14" t="str">
            <v>Beauty &amp; Health</v>
          </cell>
          <cell r="D14" t="str">
            <v>Skincare</v>
          </cell>
          <cell r="E14">
            <v>185000</v>
          </cell>
          <cell r="F14">
            <v>85000</v>
          </cell>
          <cell r="G14" t="str">
            <v>0.1</v>
          </cell>
        </row>
        <row r="15">
          <cell r="A15" t="str">
            <v>PRD-BEAU-002</v>
          </cell>
          <cell r="B15" t="str">
            <v>Organic Sunscreen SPF 50 PA++++</v>
          </cell>
          <cell r="C15" t="str">
            <v>Beauty &amp; Health</v>
          </cell>
          <cell r="D15" t="str">
            <v>Skincare</v>
          </cell>
          <cell r="E15">
            <v>145000</v>
          </cell>
          <cell r="F15">
            <v>65000</v>
          </cell>
          <cell r="G15" t="str">
            <v>0.12</v>
          </cell>
        </row>
        <row r="16">
          <cell r="A16" t="str">
            <v>PRD-BEAU-003</v>
          </cell>
          <cell r="B16" t="str">
            <v>Sonic Electric Toothbrush Pro</v>
          </cell>
          <cell r="C16" t="str">
            <v>Beauty &amp; Health</v>
          </cell>
          <cell r="D16" t="str">
            <v>Personal Care</v>
          </cell>
          <cell r="E16">
            <v>490000</v>
          </cell>
          <cell r="F16">
            <v>290000</v>
          </cell>
          <cell r="G16" t="str">
            <v>0.4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SLA_Shipping"/>
    </sheetNames>
    <sheetDataSet>
      <sheetData sheetId="0">
        <row r="2">
          <cell r="A2" t="str">
            <v>JNT-EXP</v>
          </cell>
          <cell r="B2" t="str">
            <v>J&amp;T Express</v>
          </cell>
          <cell r="C2" t="str">
            <v>Express</v>
          </cell>
          <cell r="D2">
            <v>2</v>
          </cell>
          <cell r="E2">
            <v>15000</v>
          </cell>
        </row>
        <row r="3">
          <cell r="A3" t="str">
            <v>JNT-REG</v>
          </cell>
          <cell r="B3" t="str">
            <v>J&amp;T Express</v>
          </cell>
          <cell r="C3" t="str">
            <v>Regular</v>
          </cell>
          <cell r="D3">
            <v>4</v>
          </cell>
          <cell r="E3">
            <v>10000</v>
          </cell>
        </row>
        <row r="4">
          <cell r="A4" t="str">
            <v>JNE-YES</v>
          </cell>
          <cell r="B4" t="str">
            <v>JNE</v>
          </cell>
          <cell r="C4" t="str">
            <v>Overnight</v>
          </cell>
          <cell r="D4">
            <v>1</v>
          </cell>
          <cell r="E4">
            <v>25000</v>
          </cell>
        </row>
        <row r="5">
          <cell r="A5" t="str">
            <v>JNE-REG</v>
          </cell>
          <cell r="B5" t="str">
            <v>JNE</v>
          </cell>
          <cell r="C5" t="str">
            <v>Regular</v>
          </cell>
          <cell r="D5">
            <v>3</v>
          </cell>
          <cell r="E5">
            <v>12000</v>
          </cell>
        </row>
        <row r="6">
          <cell r="A6" t="str">
            <v>SISEPAT-BEST</v>
          </cell>
          <cell r="B6" t="str">
            <v>SiCepat</v>
          </cell>
          <cell r="C6" t="str">
            <v>Express</v>
          </cell>
          <cell r="D6">
            <v>2</v>
          </cell>
          <cell r="E6">
            <v>16000</v>
          </cell>
        </row>
        <row r="7">
          <cell r="A7" t="str">
            <v>SISEPAT-GOKIL</v>
          </cell>
          <cell r="B7" t="str">
            <v>SiCepat</v>
          </cell>
          <cell r="C7" t="str">
            <v>Cargo</v>
          </cell>
          <cell r="D7">
            <v>5</v>
          </cell>
          <cell r="E7">
            <v>8000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B63D-0D46-44D9-8B15-778A85DACDCF}">
  <dimension ref="A1:AD101"/>
  <sheetViews>
    <sheetView tabSelected="1" topLeftCell="S1" workbookViewId="0">
      <selection activeCell="Z4" sqref="Z4"/>
    </sheetView>
  </sheetViews>
  <sheetFormatPr defaultRowHeight="15" x14ac:dyDescent="0.25"/>
  <cols>
    <col min="1" max="1" width="13.85546875" bestFit="1" customWidth="1"/>
    <col min="2" max="2" width="10.85546875" bestFit="1" customWidth="1"/>
    <col min="3" max="3" width="12.140625" bestFit="1" customWidth="1"/>
    <col min="4" max="4" width="24.42578125" bestFit="1" customWidth="1"/>
    <col min="5" max="5" width="3.85546875" bestFit="1" customWidth="1"/>
    <col min="6" max="6" width="14.140625" bestFit="1" customWidth="1"/>
    <col min="7" max="7" width="14" bestFit="1" customWidth="1"/>
    <col min="8" max="8" width="10.42578125" bestFit="1" customWidth="1"/>
    <col min="9" max="9" width="12.7109375" bestFit="1" customWidth="1"/>
    <col min="10" max="10" width="9.85546875" bestFit="1" customWidth="1"/>
    <col min="11" max="11" width="11.7109375" bestFit="1" customWidth="1"/>
    <col min="12" max="12" width="16.140625" bestFit="1" customWidth="1"/>
    <col min="13" max="13" width="12.85546875" bestFit="1" customWidth="1"/>
    <col min="14" max="14" width="17" bestFit="1" customWidth="1"/>
    <col min="15" max="15" width="20.7109375" bestFit="1" customWidth="1"/>
    <col min="16" max="16" width="14.42578125" bestFit="1" customWidth="1"/>
    <col min="17" max="17" width="42.42578125" bestFit="1" customWidth="1"/>
    <col min="18" max="18" width="36.28515625" bestFit="1" customWidth="1"/>
    <col min="19" max="19" width="14.85546875" bestFit="1" customWidth="1"/>
    <col min="20" max="20" width="20.85546875" bestFit="1" customWidth="1"/>
    <col min="21" max="21" width="11.42578125" bestFit="1" customWidth="1"/>
    <col min="22" max="23" width="10.28515625" bestFit="1" customWidth="1"/>
    <col min="24" max="24" width="16.42578125" bestFit="1" customWidth="1"/>
    <col min="25" max="25" width="16.28515625" bestFit="1" customWidth="1"/>
    <col min="26" max="26" width="13.7109375" bestFit="1" customWidth="1"/>
    <col min="27" max="27" width="12" bestFit="1" customWidth="1"/>
    <col min="29" max="29" width="17.28515625" bestFit="1" customWidth="1"/>
    <col min="30" max="30" width="22.85546875" bestFit="1" customWidth="1"/>
  </cols>
  <sheetData>
    <row r="1" spans="1: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223</v>
      </c>
      <c r="N1" s="3" t="s">
        <v>225</v>
      </c>
      <c r="O1" s="3" t="s">
        <v>226</v>
      </c>
      <c r="P1" s="3" t="s">
        <v>224</v>
      </c>
      <c r="Q1" s="3" t="s">
        <v>227</v>
      </c>
      <c r="R1" s="3" t="s">
        <v>228</v>
      </c>
      <c r="S1" s="3" t="s">
        <v>229</v>
      </c>
      <c r="T1" s="3" t="s">
        <v>230</v>
      </c>
      <c r="U1" s="3" t="s">
        <v>231</v>
      </c>
      <c r="V1" s="3" t="s">
        <v>232</v>
      </c>
      <c r="W1" s="3" t="s">
        <v>233</v>
      </c>
      <c r="X1" s="3" t="s">
        <v>234</v>
      </c>
      <c r="Y1" s="3" t="s">
        <v>235</v>
      </c>
      <c r="Z1" s="3" t="s">
        <v>236</v>
      </c>
      <c r="AA1" s="3" t="s">
        <v>237</v>
      </c>
      <c r="AB1" s="3" t="s">
        <v>238</v>
      </c>
      <c r="AC1" s="3" t="s">
        <v>239</v>
      </c>
      <c r="AD1" s="3" t="s">
        <v>240</v>
      </c>
    </row>
    <row r="2" spans="1:30" x14ac:dyDescent="0.25">
      <c r="A2" s="1" t="s">
        <v>12</v>
      </c>
      <c r="B2" s="2">
        <v>45293</v>
      </c>
      <c r="C2" s="1" t="s">
        <v>13</v>
      </c>
      <c r="D2" s="1" t="s">
        <v>14</v>
      </c>
      <c r="E2" s="1">
        <v>2</v>
      </c>
      <c r="F2" s="1" t="s">
        <v>15</v>
      </c>
      <c r="G2" s="1" t="s">
        <v>16</v>
      </c>
      <c r="H2" s="2">
        <v>45295</v>
      </c>
      <c r="I2" s="2">
        <v>45296</v>
      </c>
      <c r="J2" s="1" t="s">
        <v>17</v>
      </c>
      <c r="K2" s="1" t="s">
        <v>18</v>
      </c>
      <c r="L2" s="1" t="s">
        <v>19</v>
      </c>
      <c r="M2" s="1" t="str">
        <f>TRIM(C2)</f>
        <v>CUST-002</v>
      </c>
      <c r="N2" s="1" t="str">
        <f>TRIM(PROPER(VLOOKUP(M2,[1]Master_Customer_Profile!$A$2:$B$11,2,0)))</f>
        <v>Siti Nurhaliza</v>
      </c>
      <c r="O2" s="4" t="str">
        <f>SUBSTITUTE(SUBSTITUTE(SUBSTITUTE(TRIM(VLOOKUP(M2,[1]Master_Customer_Profile!$A$2:$C$11,3,0)),"+",""),"62","")," ","")</f>
        <v>8189876543</v>
      </c>
      <c r="P2" s="1" t="str">
        <f>SUBSTITUTE(SUBSTITUTE(SUBSTITUTE(SUBSTITUTE(SUBSTITUTE(D2,"NEW-",""),"OLD_",""),"PROD_",""),"-2024",""),"-v1","")</f>
        <v>PRD-ELEC-001</v>
      </c>
      <c r="Q2" s="1" t="str">
        <f>_xlfn.CONCAT(G2,"-",A2,"-",P2)</f>
        <v>SISEPAT-BEST-TRX-2024-0001-PRD-ELEC-001</v>
      </c>
      <c r="R2" s="1" t="str">
        <f>_xlfn.XLOOKUP(P2,[2]Master_Product_Catalog!$A$2:$A$16,[2]Master_Product_Catalog!$B$2:$B$16,"",3,1)</f>
        <v>Wireless Noise Cancelling Headphones</v>
      </c>
      <c r="S2" s="1" t="str">
        <f>_xlfn.XLOOKUP(P2,[2]Master_Product_Catalog!$A$2:$A$16,[2]Master_Product_Catalog!$C$2:$C$16,"Nothing")</f>
        <v>Electronics</v>
      </c>
      <c r="T2" s="1" t="str">
        <f>_xlfn.XLOOKUP(P2,[2]Master_Product_Catalog!$A$2:$A$16,[2]Master_Product_Catalog!$D$2:$D$16,"Nothing")</f>
        <v>Audio</v>
      </c>
      <c r="U2" s="5">
        <f>_xlfn.XLOOKUP(P2,[2]Master_Product_Catalog!$A$2:$A$16,[2]Master_Product_Catalog!$E$2:$E$16,"Nothing")</f>
        <v>1250000</v>
      </c>
      <c r="V2" s="6">
        <f>_xlfn.XLOOKUP(P2,[2]Master_Product_Catalog!$A$2:$A$16,[2]Master_Product_Catalog!$F$2:$F$16,"Nothing")</f>
        <v>850000</v>
      </c>
      <c r="W2" s="1" t="str">
        <f>_xlfn.XLOOKUP(P2,[2]Master_Product_Catalog!$A$2:$A$16,[2]Master_Product_Catalog!$G$2:$G$16,"Nothing")</f>
        <v>0.8</v>
      </c>
      <c r="X2" s="1" t="str">
        <f>_xlfn.XLOOKUP(M2,[1]Master_Customer_Profile!$A$2:$A$11,[1]Master_Customer_Profile!$D$2:$D$11)</f>
        <v>DKI Jakarta</v>
      </c>
      <c r="Y2" s="1" t="str">
        <f>_xlfn.XLOOKUP(M2,[1]Master_Customer_Profile!$A$2:$A$11,[1]Master_Customer_Profile!$G$2:$G$11)</f>
        <v>Gold</v>
      </c>
      <c r="Z2" s="1" t="str">
        <f>_xlfn.XLOOKUP(G2,[3]Master_SLA_Shipping!$A$2:$A$7,[3]Master_SLA_Shipping!$B$2:$B$7)</f>
        <v>SiCepat</v>
      </c>
      <c r="AA2" s="1" t="str">
        <f>_xlfn.XLOOKUP(G2,[3]Master_SLA_Shipping!$A$2:$A$7,[3]Master_SLA_Shipping!$C$2:$C$7)</f>
        <v>Express</v>
      </c>
      <c r="AB2" s="1">
        <f>_xlfn.XLOOKUP(G2,[3]Master_SLA_Shipping!$A$2:$A$7,[3]Master_SLA_Shipping!$D$2:$D$7)</f>
        <v>2</v>
      </c>
      <c r="AC2" s="7">
        <f>_xlfn.XLOOKUP(G2,[3]Master_SLA_Shipping!$A$2:$A$7,[3]Master_SLA_Shipping!$E$2:$E$7)</f>
        <v>16000</v>
      </c>
      <c r="AD2" s="1" t="e" cm="1">
        <f t="array" ref="AD2:AD101">INDEX(MATCH(S2,S2:S101,0),MATCH(Y2:Y101,0))</f>
        <v>#N/A</v>
      </c>
    </row>
    <row r="3" spans="1:30" x14ac:dyDescent="0.25">
      <c r="A3" s="1" t="s">
        <v>20</v>
      </c>
      <c r="B3" s="2">
        <v>45296</v>
      </c>
      <c r="C3" s="1" t="s">
        <v>21</v>
      </c>
      <c r="D3" s="1" t="s">
        <v>22</v>
      </c>
      <c r="E3" s="1">
        <v>5</v>
      </c>
      <c r="F3" s="1" t="s">
        <v>23</v>
      </c>
      <c r="G3" s="1" t="s">
        <v>24</v>
      </c>
      <c r="H3" s="2">
        <v>45298</v>
      </c>
      <c r="I3" s="2">
        <v>45302</v>
      </c>
      <c r="J3" s="1" t="s">
        <v>25</v>
      </c>
      <c r="K3" s="1" t="s">
        <v>26</v>
      </c>
      <c r="L3" s="1" t="s">
        <v>27</v>
      </c>
      <c r="M3" s="1" t="str">
        <f t="shared" ref="M3:M66" si="0">TRIM(C3)</f>
        <v>CUST-001</v>
      </c>
      <c r="N3" s="1" t="str">
        <f>TRIM(PROPER(VLOOKUP(M3,[1]Master_Customer_Profile!$A$2:$B$11,2,0)))</f>
        <v>Ahmad Fauzi</v>
      </c>
      <c r="O3" s="4" t="str">
        <f>SUBSTITUTE(SUBSTITUTE(SUBSTITUTE(TRIM(VLOOKUP(M3,[1]Master_Customer_Profile!$A$2:$C$11,3,0)),"+",""),"62","")," ","")</f>
        <v>81234567890</v>
      </c>
      <c r="P3" s="1" t="str">
        <f t="shared" ref="P3:P66" si="1">SUBSTITUTE(SUBSTITUTE(SUBSTITUTE(SUBSTITUTE(SUBSTITUTE(D3,"NEW-",""),"OLD_",""),"PROD_",""),"-2024",""),"-v1","")</f>
        <v>PRD-ELEC-002</v>
      </c>
      <c r="Q3" s="1" t="str">
        <f>_xlfn.CONCAT(G3,"-",A3,"-",P3)</f>
        <v>JNT-REG-TRX-2024-0002-PRD-ELEC-002</v>
      </c>
      <c r="R3" s="1" t="str">
        <f>_xlfn.XLOOKUP(P3,[2]Master_Product_Catalog!$A$2:$A$16,[2]Master_Product_Catalog!$B$2:$B$16,"",3,1)</f>
        <v>Smart Watch Fitness Tracker V2</v>
      </c>
      <c r="S3" s="1" t="str">
        <f>_xlfn.XLOOKUP(P3,[2]Master_Product_Catalog!$A$2:$A$16,[2]Master_Product_Catalog!$C$2:$C$16,"Nothing")</f>
        <v>Electronics</v>
      </c>
      <c r="T3" s="1" t="str">
        <f>_xlfn.XLOOKUP(P3,[2]Master_Product_Catalog!$A$2:$A$16,[2]Master_Product_Catalog!$D$2:$D$16,"Nothing")</f>
        <v>Wearables</v>
      </c>
      <c r="U3" s="5">
        <f>_xlfn.XLOOKUP(P3,[2]Master_Product_Catalog!$A$2:$A$16,[2]Master_Product_Catalog!$E$2:$E$16,"Nothing")</f>
        <v>850000</v>
      </c>
      <c r="V3" s="6">
        <f>_xlfn.XLOOKUP(P3,[2]Master_Product_Catalog!$A$2:$A$16,[2]Master_Product_Catalog!$F$2:$F$16,"Nothing")</f>
        <v>520000</v>
      </c>
      <c r="W3" s="1" t="str">
        <f>_xlfn.XLOOKUP(P3,[2]Master_Product_Catalog!$A$2:$A$16,[2]Master_Product_Catalog!$G$2:$G$16,"Nothing")</f>
        <v>0.3</v>
      </c>
      <c r="X3" s="1" t="str">
        <f>_xlfn.XLOOKUP(M3,[1]Master_Customer_Profile!$A$2:$A$11,[1]Master_Customer_Profile!$D$2:$D$11)</f>
        <v>Jawa Barat</v>
      </c>
      <c r="Y3" s="1" t="str">
        <f>_xlfn.XLOOKUP(M3,[1]Master_Customer_Profile!$A$2:$A$11,[1]Master_Customer_Profile!$G$2:$G$11)</f>
        <v>VIP</v>
      </c>
      <c r="Z3" s="1" t="str">
        <f>_xlfn.XLOOKUP(G3,[3]Master_SLA_Shipping!$A$2:$A$7,[3]Master_SLA_Shipping!$B$2:$B$7)</f>
        <v>J&amp;T Express</v>
      </c>
      <c r="AA3" s="1" t="str">
        <f>_xlfn.XLOOKUP(G3,[3]Master_SLA_Shipping!$A$2:$A$7,[3]Master_SLA_Shipping!$C$2:$C$7)</f>
        <v>Regular</v>
      </c>
      <c r="AB3" s="1">
        <f>_xlfn.XLOOKUP(G3,[3]Master_SLA_Shipping!$A$2:$A$7,[3]Master_SLA_Shipping!$D$2:$D$7)</f>
        <v>4</v>
      </c>
      <c r="AC3" s="7">
        <f>_xlfn.XLOOKUP(G3,[3]Master_SLA_Shipping!$A$2:$A$7,[3]Master_SLA_Shipping!$E$2:$E$7)</f>
        <v>10000</v>
      </c>
      <c r="AD3" s="1" t="e">
        <v>#N/A</v>
      </c>
    </row>
    <row r="4" spans="1:30" x14ac:dyDescent="0.25">
      <c r="A4" s="1" t="s">
        <v>28</v>
      </c>
      <c r="B4" s="2">
        <v>45297</v>
      </c>
      <c r="C4" s="1" t="s">
        <v>29</v>
      </c>
      <c r="D4" s="1" t="s">
        <v>30</v>
      </c>
      <c r="E4" s="1">
        <v>2</v>
      </c>
      <c r="F4" s="1" t="s">
        <v>23</v>
      </c>
      <c r="G4" s="1" t="s">
        <v>24</v>
      </c>
      <c r="H4" s="2">
        <v>45298</v>
      </c>
      <c r="I4" s="2">
        <v>45299</v>
      </c>
      <c r="J4" s="1" t="s">
        <v>31</v>
      </c>
      <c r="K4" s="1" t="s">
        <v>32</v>
      </c>
      <c r="L4" s="1" t="s">
        <v>33</v>
      </c>
      <c r="M4" s="1" t="str">
        <f t="shared" si="0"/>
        <v>CUST-005</v>
      </c>
      <c r="N4" s="1" t="str">
        <f>TRIM(PROPER(VLOOKUP(M4,[1]Master_Customer_Profile!$A$2:$B$11,2,0)))</f>
        <v>Hendra Wijaya</v>
      </c>
      <c r="O4" s="4" t="str">
        <f>SUBSTITUTE(SUBSTITUTE(SUBSTITUTE(TRIM(VLOOKUP(M4,[1]Master_Customer_Profile!$A$2:$C$11,3,0)),"+",""),"62","")," ","")</f>
        <v>8189876543</v>
      </c>
      <c r="P4" s="1" t="str">
        <f t="shared" si="1"/>
        <v>PRD-BEAU-001</v>
      </c>
      <c r="Q4" s="1" t="str">
        <f t="shared" ref="Q4:Q67" si="2">_xlfn.CONCAT(G4,"-",A4,"-",P4)</f>
        <v>JNT-REG-TRX-2024-0003-PRD-BEAU-001</v>
      </c>
      <c r="R4" s="1" t="str">
        <f>_xlfn.XLOOKUP(P4,[2]Master_Product_Catalog!$A$2:$A$16,[2]Master_Product_Catalog!$B$2:$B$16,"",3,1)</f>
        <v>Hydrating Serum Vitamin C 50ml</v>
      </c>
      <c r="S4" s="1" t="str">
        <f>_xlfn.XLOOKUP(P4,[2]Master_Product_Catalog!$A$2:$A$16,[2]Master_Product_Catalog!$C$2:$C$16,"Nothing")</f>
        <v>Beauty &amp; Health</v>
      </c>
      <c r="T4" s="1" t="str">
        <f>_xlfn.XLOOKUP(P4,[2]Master_Product_Catalog!$A$2:$A$16,[2]Master_Product_Catalog!$D$2:$D$16,"Nothing")</f>
        <v>Skincare</v>
      </c>
      <c r="U4" s="5">
        <f>_xlfn.XLOOKUP(P4,[2]Master_Product_Catalog!$A$2:$A$16,[2]Master_Product_Catalog!$E$2:$E$16,"Nothing")</f>
        <v>185000</v>
      </c>
      <c r="V4" s="6">
        <f>_xlfn.XLOOKUP(P4,[2]Master_Product_Catalog!$A$2:$A$16,[2]Master_Product_Catalog!$F$2:$F$16,"Nothing")</f>
        <v>85000</v>
      </c>
      <c r="W4" s="1" t="str">
        <f>_xlfn.XLOOKUP(P4,[2]Master_Product_Catalog!$A$2:$A$16,[2]Master_Product_Catalog!$G$2:$G$16,"Nothing")</f>
        <v>0.1</v>
      </c>
      <c r="X4" s="1" t="str">
        <f>_xlfn.XLOOKUP(M4,[1]Master_Customer_Profile!$A$2:$A$11,[1]Master_Customer_Profile!$D$2:$D$11)</f>
        <v>DKI Jakarta</v>
      </c>
      <c r="Y4" s="1" t="str">
        <f>_xlfn.XLOOKUP(M4,[1]Master_Customer_Profile!$A$2:$A$11,[1]Master_Customer_Profile!$G$2:$G$11)</f>
        <v>Gold</v>
      </c>
      <c r="Z4" s="1" t="str">
        <f>_xlfn.XLOOKUP(G4,[3]Master_SLA_Shipping!$A$2:$A$7,[3]Master_SLA_Shipping!$B$2:$B$7)</f>
        <v>J&amp;T Express</v>
      </c>
      <c r="AA4" s="1" t="str">
        <f>_xlfn.XLOOKUP(G4,[3]Master_SLA_Shipping!$A$2:$A$7,[3]Master_SLA_Shipping!$C$2:$C$7)</f>
        <v>Regular</v>
      </c>
      <c r="AB4" s="1">
        <f>_xlfn.XLOOKUP(G4,[3]Master_SLA_Shipping!$A$2:$A$7,[3]Master_SLA_Shipping!$D$2:$D$7)</f>
        <v>4</v>
      </c>
      <c r="AC4" s="7">
        <f>_xlfn.XLOOKUP(G4,[3]Master_SLA_Shipping!$A$2:$A$7,[3]Master_SLA_Shipping!$E$2:$E$7)</f>
        <v>10000</v>
      </c>
      <c r="AD4" s="1" t="e">
        <v>#N/A</v>
      </c>
    </row>
    <row r="5" spans="1:30" x14ac:dyDescent="0.25">
      <c r="A5" s="1" t="s">
        <v>34</v>
      </c>
      <c r="B5" s="2">
        <v>45299</v>
      </c>
      <c r="C5" s="1" t="s">
        <v>35</v>
      </c>
      <c r="D5" s="1" t="s">
        <v>36</v>
      </c>
      <c r="E5" s="1">
        <v>3</v>
      </c>
      <c r="F5" s="1" t="s">
        <v>23</v>
      </c>
      <c r="G5" s="1" t="s">
        <v>37</v>
      </c>
      <c r="H5" s="2">
        <v>45300</v>
      </c>
      <c r="I5" s="2">
        <v>45304</v>
      </c>
      <c r="J5" s="1" t="s">
        <v>38</v>
      </c>
      <c r="K5" s="1" t="s">
        <v>18</v>
      </c>
      <c r="L5" s="1" t="s">
        <v>39</v>
      </c>
      <c r="M5" s="1" t="str">
        <f t="shared" si="0"/>
        <v>CUST-002</v>
      </c>
      <c r="N5" s="1" t="str">
        <f>TRIM(PROPER(VLOOKUP(M5,[1]Master_Customer_Profile!$A$2:$B$11,2,0)))</f>
        <v>Siti Nurhaliza</v>
      </c>
      <c r="O5" s="4" t="str">
        <f>SUBSTITUTE(SUBSTITUTE(SUBSTITUTE(TRIM(VLOOKUP(M5,[1]Master_Customer_Profile!$A$2:$C$11,3,0)),"+",""),"62","")," ","")</f>
        <v>8189876543</v>
      </c>
      <c r="P5" s="1" t="str">
        <f t="shared" si="1"/>
        <v>PRD-FASH-002</v>
      </c>
      <c r="Q5" s="1" t="str">
        <f t="shared" si="2"/>
        <v>JNE-REG-TRX-2024-0004-PRD-FASH-002</v>
      </c>
      <c r="R5" s="1" t="str">
        <f>_xlfn.XLOOKUP(P5,[2]Master_Product_Catalog!$A$2:$A$16,[2]Master_Product_Catalog!$B$2:$B$16,"",3,1)</f>
        <v>Women Floral Summer Dress</v>
      </c>
      <c r="S5" s="1" t="str">
        <f>_xlfn.XLOOKUP(P5,[2]Master_Product_Catalog!$A$2:$A$16,[2]Master_Product_Catalog!$C$2:$C$16,"Nothing")</f>
        <v>Fashion</v>
      </c>
      <c r="T5" s="1" t="str">
        <f>_xlfn.XLOOKUP(P5,[2]Master_Product_Catalog!$A$2:$A$16,[2]Master_Product_Catalog!$D$2:$D$16,"Nothing")</f>
        <v>Dresses</v>
      </c>
      <c r="U5" s="5">
        <f>_xlfn.XLOOKUP(P5,[2]Master_Product_Catalog!$A$2:$A$16,[2]Master_Product_Catalog!$E$2:$E$16,"Nothing")</f>
        <v>320000</v>
      </c>
      <c r="V5" s="6">
        <f>_xlfn.XLOOKUP(P5,[2]Master_Product_Catalog!$A$2:$A$16,[2]Master_Product_Catalog!$F$2:$F$16,"Nothing")</f>
        <v>180000</v>
      </c>
      <c r="W5" s="1" t="str">
        <f>_xlfn.XLOOKUP(P5,[2]Master_Product_Catalog!$A$2:$A$16,[2]Master_Product_Catalog!$G$2:$G$16,"Nothing")</f>
        <v>0.35</v>
      </c>
      <c r="X5" s="1" t="str">
        <f>_xlfn.XLOOKUP(M5,[1]Master_Customer_Profile!$A$2:$A$11,[1]Master_Customer_Profile!$D$2:$D$11)</f>
        <v>DKI Jakarta</v>
      </c>
      <c r="Y5" s="1" t="str">
        <f>_xlfn.XLOOKUP(M5,[1]Master_Customer_Profile!$A$2:$A$11,[1]Master_Customer_Profile!$G$2:$G$11)</f>
        <v>Gold</v>
      </c>
      <c r="Z5" s="1" t="str">
        <f>_xlfn.XLOOKUP(G5,[3]Master_SLA_Shipping!$A$2:$A$7,[3]Master_SLA_Shipping!$B$2:$B$7)</f>
        <v>JNE</v>
      </c>
      <c r="AA5" s="1" t="str">
        <f>_xlfn.XLOOKUP(G5,[3]Master_SLA_Shipping!$A$2:$A$7,[3]Master_SLA_Shipping!$C$2:$C$7)</f>
        <v>Regular</v>
      </c>
      <c r="AB5" s="1">
        <f>_xlfn.XLOOKUP(G5,[3]Master_SLA_Shipping!$A$2:$A$7,[3]Master_SLA_Shipping!$D$2:$D$7)</f>
        <v>3</v>
      </c>
      <c r="AC5" s="7">
        <f>_xlfn.XLOOKUP(G5,[3]Master_SLA_Shipping!$A$2:$A$7,[3]Master_SLA_Shipping!$E$2:$E$7)</f>
        <v>12000</v>
      </c>
      <c r="AD5" s="1" t="e">
        <v>#N/A</v>
      </c>
    </row>
    <row r="6" spans="1:30" x14ac:dyDescent="0.25">
      <c r="A6" s="1" t="s">
        <v>40</v>
      </c>
      <c r="B6" s="2">
        <v>45301</v>
      </c>
      <c r="C6" s="1" t="s">
        <v>29</v>
      </c>
      <c r="D6" s="1" t="s">
        <v>41</v>
      </c>
      <c r="E6" s="1">
        <v>3</v>
      </c>
      <c r="F6" s="1" t="s">
        <v>23</v>
      </c>
      <c r="G6" s="1" t="s">
        <v>42</v>
      </c>
      <c r="H6" s="2">
        <v>45302</v>
      </c>
      <c r="I6" s="2">
        <v>45308</v>
      </c>
      <c r="J6" s="1" t="s">
        <v>17</v>
      </c>
      <c r="K6" s="1" t="s">
        <v>18</v>
      </c>
      <c r="L6" s="1" t="s">
        <v>43</v>
      </c>
      <c r="M6" s="1" t="str">
        <f t="shared" si="0"/>
        <v>CUST-005</v>
      </c>
      <c r="N6" s="1" t="str">
        <f>TRIM(PROPER(VLOOKUP(M6,[1]Master_Customer_Profile!$A$2:$B$11,2,0)))</f>
        <v>Hendra Wijaya</v>
      </c>
      <c r="O6" s="4" t="str">
        <f>SUBSTITUTE(SUBSTITUTE(SUBSTITUTE(TRIM(VLOOKUP(M6,[1]Master_Customer_Profile!$A$2:$C$11,3,0)),"+",""),"62","")," ","")</f>
        <v>8189876543</v>
      </c>
      <c r="P6" s="1" t="str">
        <f t="shared" si="1"/>
        <v>PRD-BEAU-002</v>
      </c>
      <c r="Q6" s="1" t="str">
        <f t="shared" si="2"/>
        <v>JNE-YES-TRX-2024-0005-PRD-BEAU-002</v>
      </c>
      <c r="R6" s="1" t="str">
        <f>_xlfn.XLOOKUP(P6,[2]Master_Product_Catalog!$A$2:$A$16,[2]Master_Product_Catalog!$B$2:$B$16,"",3,1)</f>
        <v>Organic Sunscreen SPF 50 PA++++</v>
      </c>
      <c r="S6" s="1" t="str">
        <f>_xlfn.XLOOKUP(P6,[2]Master_Product_Catalog!$A$2:$A$16,[2]Master_Product_Catalog!$C$2:$C$16,"Nothing")</f>
        <v>Beauty &amp; Health</v>
      </c>
      <c r="T6" s="1" t="str">
        <f>_xlfn.XLOOKUP(P6,[2]Master_Product_Catalog!$A$2:$A$16,[2]Master_Product_Catalog!$D$2:$D$16,"Nothing")</f>
        <v>Skincare</v>
      </c>
      <c r="U6" s="5">
        <f>_xlfn.XLOOKUP(P6,[2]Master_Product_Catalog!$A$2:$A$16,[2]Master_Product_Catalog!$E$2:$E$16,"Nothing")</f>
        <v>145000</v>
      </c>
      <c r="V6" s="6">
        <f>_xlfn.XLOOKUP(P6,[2]Master_Product_Catalog!$A$2:$A$16,[2]Master_Product_Catalog!$F$2:$F$16,"Nothing")</f>
        <v>65000</v>
      </c>
      <c r="W6" s="1" t="str">
        <f>_xlfn.XLOOKUP(P6,[2]Master_Product_Catalog!$A$2:$A$16,[2]Master_Product_Catalog!$G$2:$G$16,"Nothing")</f>
        <v>0.12</v>
      </c>
      <c r="X6" s="1" t="str">
        <f>_xlfn.XLOOKUP(M6,[1]Master_Customer_Profile!$A$2:$A$11,[1]Master_Customer_Profile!$D$2:$D$11)</f>
        <v>DKI Jakarta</v>
      </c>
      <c r="Y6" s="1" t="str">
        <f>_xlfn.XLOOKUP(M6,[1]Master_Customer_Profile!$A$2:$A$11,[1]Master_Customer_Profile!$G$2:$G$11)</f>
        <v>Gold</v>
      </c>
      <c r="Z6" s="1" t="str">
        <f>_xlfn.XLOOKUP(G6,[3]Master_SLA_Shipping!$A$2:$A$7,[3]Master_SLA_Shipping!$B$2:$B$7)</f>
        <v>JNE</v>
      </c>
      <c r="AA6" s="1" t="str">
        <f>_xlfn.XLOOKUP(G6,[3]Master_SLA_Shipping!$A$2:$A$7,[3]Master_SLA_Shipping!$C$2:$C$7)</f>
        <v>Overnight</v>
      </c>
      <c r="AB6" s="1">
        <f>_xlfn.XLOOKUP(G6,[3]Master_SLA_Shipping!$A$2:$A$7,[3]Master_SLA_Shipping!$D$2:$D$7)</f>
        <v>1</v>
      </c>
      <c r="AC6" s="7">
        <f>_xlfn.XLOOKUP(G6,[3]Master_SLA_Shipping!$A$2:$A$7,[3]Master_SLA_Shipping!$E$2:$E$7)</f>
        <v>25000</v>
      </c>
      <c r="AD6" s="1" t="e">
        <v>#N/A</v>
      </c>
    </row>
    <row r="7" spans="1:30" x14ac:dyDescent="0.25">
      <c r="A7" s="1" t="s">
        <v>44</v>
      </c>
      <c r="B7" s="2">
        <v>45304</v>
      </c>
      <c r="C7" s="1" t="s">
        <v>45</v>
      </c>
      <c r="D7" s="1" t="s">
        <v>46</v>
      </c>
      <c r="E7" s="1">
        <v>3</v>
      </c>
      <c r="F7" s="1" t="s">
        <v>47</v>
      </c>
      <c r="G7" s="1" t="s">
        <v>24</v>
      </c>
      <c r="H7" s="2">
        <v>45305</v>
      </c>
      <c r="I7" s="2">
        <v>45310</v>
      </c>
      <c r="J7" s="1" t="s">
        <v>38</v>
      </c>
      <c r="K7" s="1" t="s">
        <v>48</v>
      </c>
      <c r="L7" s="1" t="s">
        <v>33</v>
      </c>
      <c r="M7" s="1" t="str">
        <f t="shared" si="0"/>
        <v>CUST-004</v>
      </c>
      <c r="N7" s="1" t="str">
        <f>TRIM(PROPER(VLOOKUP(M7,[1]Master_Customer_Profile!$A$2:$B$11,2,0)))</f>
        <v>Dewi Lestari</v>
      </c>
      <c r="O7" s="4" t="str">
        <f>SUBSTITUTE(SUBSTITUTE(SUBSTITUTE(TRIM(VLOOKUP(M7,[1]Master_Customer_Profile!$A$2:$C$11,3,0)),"+",""),"62","")," ","")</f>
        <v>87855443322</v>
      </c>
      <c r="P7" s="1" t="str">
        <f t="shared" si="1"/>
        <v>PRD-BEAU-002</v>
      </c>
      <c r="Q7" s="1" t="str">
        <f t="shared" si="2"/>
        <v>JNT-REG-TRX-2024-0006-PRD-BEAU-002</v>
      </c>
      <c r="R7" s="1" t="str">
        <f>_xlfn.XLOOKUP(P7,[2]Master_Product_Catalog!$A$2:$A$16,[2]Master_Product_Catalog!$B$2:$B$16,"",3,1)</f>
        <v>Organic Sunscreen SPF 50 PA++++</v>
      </c>
      <c r="S7" s="1" t="str">
        <f>_xlfn.XLOOKUP(P7,[2]Master_Product_Catalog!$A$2:$A$16,[2]Master_Product_Catalog!$C$2:$C$16,"Nothing")</f>
        <v>Beauty &amp; Health</v>
      </c>
      <c r="T7" s="1" t="str">
        <f>_xlfn.XLOOKUP(P7,[2]Master_Product_Catalog!$A$2:$A$16,[2]Master_Product_Catalog!$D$2:$D$16,"Nothing")</f>
        <v>Skincare</v>
      </c>
      <c r="U7" s="5">
        <f>_xlfn.XLOOKUP(P7,[2]Master_Product_Catalog!$A$2:$A$16,[2]Master_Product_Catalog!$E$2:$E$16,"Nothing")</f>
        <v>145000</v>
      </c>
      <c r="V7" s="6">
        <f>_xlfn.XLOOKUP(P7,[2]Master_Product_Catalog!$A$2:$A$16,[2]Master_Product_Catalog!$F$2:$F$16,"Nothing")</f>
        <v>65000</v>
      </c>
      <c r="W7" s="1" t="str">
        <f>_xlfn.XLOOKUP(P7,[2]Master_Product_Catalog!$A$2:$A$16,[2]Master_Product_Catalog!$G$2:$G$16,"Nothing")</f>
        <v>0.12</v>
      </c>
      <c r="X7" s="1" t="str">
        <f>_xlfn.XLOOKUP(M7,[1]Master_Customer_Profile!$A$2:$A$11,[1]Master_Customer_Profile!$D$2:$D$11)</f>
        <v>Jawa Timur</v>
      </c>
      <c r="Y7" s="1" t="str">
        <f>_xlfn.XLOOKUP(M7,[1]Master_Customer_Profile!$A$2:$A$11,[1]Master_Customer_Profile!$G$2:$G$11)</f>
        <v>Silver</v>
      </c>
      <c r="Z7" s="1" t="str">
        <f>_xlfn.XLOOKUP(G7,[3]Master_SLA_Shipping!$A$2:$A$7,[3]Master_SLA_Shipping!$B$2:$B$7)</f>
        <v>J&amp;T Express</v>
      </c>
      <c r="AA7" s="1" t="str">
        <f>_xlfn.XLOOKUP(G7,[3]Master_SLA_Shipping!$A$2:$A$7,[3]Master_SLA_Shipping!$C$2:$C$7)</f>
        <v>Regular</v>
      </c>
      <c r="AB7" s="1">
        <f>_xlfn.XLOOKUP(G7,[3]Master_SLA_Shipping!$A$2:$A$7,[3]Master_SLA_Shipping!$D$2:$D$7)</f>
        <v>4</v>
      </c>
      <c r="AC7" s="7">
        <f>_xlfn.XLOOKUP(G7,[3]Master_SLA_Shipping!$A$2:$A$7,[3]Master_SLA_Shipping!$E$2:$E$7)</f>
        <v>10000</v>
      </c>
      <c r="AD7" s="1" t="e">
        <v>#N/A</v>
      </c>
    </row>
    <row r="8" spans="1:30" x14ac:dyDescent="0.25">
      <c r="A8" s="1" t="s">
        <v>49</v>
      </c>
      <c r="B8" s="2">
        <v>45306</v>
      </c>
      <c r="C8" s="1" t="s">
        <v>13</v>
      </c>
      <c r="D8" s="1" t="s">
        <v>50</v>
      </c>
      <c r="E8" s="1">
        <v>5</v>
      </c>
      <c r="F8" s="1" t="s">
        <v>23</v>
      </c>
      <c r="G8" s="1" t="s">
        <v>42</v>
      </c>
      <c r="H8" s="2">
        <v>45309</v>
      </c>
      <c r="I8" s="2">
        <v>45311</v>
      </c>
      <c r="J8" s="1" t="s">
        <v>17</v>
      </c>
      <c r="K8" s="1" t="s">
        <v>48</v>
      </c>
      <c r="L8" s="1" t="s">
        <v>39</v>
      </c>
      <c r="M8" s="1" t="str">
        <f t="shared" si="0"/>
        <v>CUST-002</v>
      </c>
      <c r="N8" s="1" t="str">
        <f>TRIM(PROPER(VLOOKUP(M8,[1]Master_Customer_Profile!$A$2:$B$11,2,0)))</f>
        <v>Siti Nurhaliza</v>
      </c>
      <c r="O8" s="4" t="str">
        <f>SUBSTITUTE(SUBSTITUTE(SUBSTITUTE(TRIM(VLOOKUP(M8,[1]Master_Customer_Profile!$A$2:$C$11,3,0)),"+",""),"62","")," ","")</f>
        <v>8189876543</v>
      </c>
      <c r="P8" s="1" t="str">
        <f t="shared" si="1"/>
        <v>PRD-HOME-001</v>
      </c>
      <c r="Q8" s="1" t="str">
        <f t="shared" si="2"/>
        <v>JNE-YES-TRX-2024-0007-PRD-HOME-001</v>
      </c>
      <c r="R8" s="1" t="str">
        <f>_xlfn.XLOOKUP(P8,[2]Master_Product_Catalog!$A$2:$A$16,[2]Master_Product_Catalog!$B$2:$B$16,"",3,1)</f>
        <v>Automatic Coffee Espresso Machine</v>
      </c>
      <c r="S8" s="1" t="str">
        <f>_xlfn.XLOOKUP(P8,[2]Master_Product_Catalog!$A$2:$A$16,[2]Master_Product_Catalog!$C$2:$C$16,"Nothing")</f>
        <v>Home &amp; Living</v>
      </c>
      <c r="T8" s="1" t="str">
        <f>_xlfn.XLOOKUP(P8,[2]Master_Product_Catalog!$A$2:$A$16,[2]Master_Product_Catalog!$D$2:$D$16,"Nothing")</f>
        <v>Kitchen Appliances</v>
      </c>
      <c r="U8" s="5">
        <f>_xlfn.XLOOKUP(P8,[2]Master_Product_Catalog!$A$2:$A$16,[2]Master_Product_Catalog!$E$2:$E$16,"Nothing")</f>
        <v>2400000</v>
      </c>
      <c r="V8" s="6">
        <f>_xlfn.XLOOKUP(P8,[2]Master_Product_Catalog!$A$2:$A$16,[2]Master_Product_Catalog!$F$2:$F$16,"Nothing")</f>
        <v>1650000</v>
      </c>
      <c r="W8" s="1" t="str">
        <f>_xlfn.XLOOKUP(P8,[2]Master_Product_Catalog!$A$2:$A$16,[2]Master_Product_Catalog!$G$2:$G$16,"Nothing")</f>
        <v>4.5</v>
      </c>
      <c r="X8" s="1" t="str">
        <f>_xlfn.XLOOKUP(M8,[1]Master_Customer_Profile!$A$2:$A$11,[1]Master_Customer_Profile!$D$2:$D$11)</f>
        <v>DKI Jakarta</v>
      </c>
      <c r="Y8" s="1" t="str">
        <f>_xlfn.XLOOKUP(M8,[1]Master_Customer_Profile!$A$2:$A$11,[1]Master_Customer_Profile!$G$2:$G$11)</f>
        <v>Gold</v>
      </c>
      <c r="Z8" s="1" t="str">
        <f>_xlfn.XLOOKUP(G8,[3]Master_SLA_Shipping!$A$2:$A$7,[3]Master_SLA_Shipping!$B$2:$B$7)</f>
        <v>JNE</v>
      </c>
      <c r="AA8" s="1" t="str">
        <f>_xlfn.XLOOKUP(G8,[3]Master_SLA_Shipping!$A$2:$A$7,[3]Master_SLA_Shipping!$C$2:$C$7)</f>
        <v>Overnight</v>
      </c>
      <c r="AB8" s="1">
        <f>_xlfn.XLOOKUP(G8,[3]Master_SLA_Shipping!$A$2:$A$7,[3]Master_SLA_Shipping!$D$2:$D$7)</f>
        <v>1</v>
      </c>
      <c r="AC8" s="7">
        <f>_xlfn.XLOOKUP(G8,[3]Master_SLA_Shipping!$A$2:$A$7,[3]Master_SLA_Shipping!$E$2:$E$7)</f>
        <v>25000</v>
      </c>
      <c r="AD8" s="1" t="e">
        <v>#N/A</v>
      </c>
    </row>
    <row r="9" spans="1:30" x14ac:dyDescent="0.25">
      <c r="A9" s="1" t="s">
        <v>51</v>
      </c>
      <c r="B9" s="2">
        <v>45308</v>
      </c>
      <c r="C9" s="1" t="s">
        <v>52</v>
      </c>
      <c r="D9" s="1" t="s">
        <v>53</v>
      </c>
      <c r="E9" s="1">
        <v>2</v>
      </c>
      <c r="F9" s="1" t="s">
        <v>23</v>
      </c>
      <c r="G9" s="1" t="s">
        <v>54</v>
      </c>
      <c r="H9" s="2">
        <v>45309</v>
      </c>
      <c r="I9" s="2">
        <v>45313</v>
      </c>
      <c r="J9" s="1" t="s">
        <v>25</v>
      </c>
      <c r="K9" s="1" t="s">
        <v>32</v>
      </c>
      <c r="L9" s="1" t="s">
        <v>39</v>
      </c>
      <c r="M9" s="1" t="str">
        <f t="shared" si="0"/>
        <v>CUST-006</v>
      </c>
      <c r="N9" s="1" t="str">
        <f>TRIM(PROPER(VLOOKUP(M9,[1]Master_Customer_Profile!$A$2:$B$11,2,0)))</f>
        <v>Rina Anggraini</v>
      </c>
      <c r="O9" s="4" t="str">
        <f>SUBSTITUTE(SUBSTITUTE(SUBSTITUTE(TRIM(VLOOKUP(M9,[1]Master_Customer_Profile!$A$2:$C$11,3,0)),"+",""),"62","")," ","")</f>
        <v>81122334455</v>
      </c>
      <c r="P9" s="1" t="str">
        <f t="shared" si="1"/>
        <v>PRD-BEAU-002</v>
      </c>
      <c r="Q9" s="1" t="str">
        <f t="shared" si="2"/>
        <v>JNT-EXP-TRX-2024-0008-PRD-BEAU-002</v>
      </c>
      <c r="R9" s="1" t="str">
        <f>_xlfn.XLOOKUP(P9,[2]Master_Product_Catalog!$A$2:$A$16,[2]Master_Product_Catalog!$B$2:$B$16,"",3,1)</f>
        <v>Organic Sunscreen SPF 50 PA++++</v>
      </c>
      <c r="S9" s="1" t="str">
        <f>_xlfn.XLOOKUP(P9,[2]Master_Product_Catalog!$A$2:$A$16,[2]Master_Product_Catalog!$C$2:$C$16,"Nothing")</f>
        <v>Beauty &amp; Health</v>
      </c>
      <c r="T9" s="1" t="str">
        <f>_xlfn.XLOOKUP(P9,[2]Master_Product_Catalog!$A$2:$A$16,[2]Master_Product_Catalog!$D$2:$D$16,"Nothing")</f>
        <v>Skincare</v>
      </c>
      <c r="U9" s="5">
        <f>_xlfn.XLOOKUP(P9,[2]Master_Product_Catalog!$A$2:$A$16,[2]Master_Product_Catalog!$E$2:$E$16,"Nothing")</f>
        <v>145000</v>
      </c>
      <c r="V9" s="6">
        <f>_xlfn.XLOOKUP(P9,[2]Master_Product_Catalog!$A$2:$A$16,[2]Master_Product_Catalog!$F$2:$F$16,"Nothing")</f>
        <v>65000</v>
      </c>
      <c r="W9" s="1" t="str">
        <f>_xlfn.XLOOKUP(P9,[2]Master_Product_Catalog!$A$2:$A$16,[2]Master_Product_Catalog!$G$2:$G$16,"Nothing")</f>
        <v>0.12</v>
      </c>
      <c r="X9" s="1" t="str">
        <f>_xlfn.XLOOKUP(M9,[1]Master_Customer_Profile!$A$2:$A$11,[1]Master_Customer_Profile!$D$2:$D$11)</f>
        <v>Banten</v>
      </c>
      <c r="Y9" s="1" t="str">
        <f>_xlfn.XLOOKUP(M9,[1]Master_Customer_Profile!$A$2:$A$11,[1]Master_Customer_Profile!$G$2:$G$11)</f>
        <v>Silver</v>
      </c>
      <c r="Z9" s="1" t="str">
        <f>_xlfn.XLOOKUP(G9,[3]Master_SLA_Shipping!$A$2:$A$7,[3]Master_SLA_Shipping!$B$2:$B$7)</f>
        <v>J&amp;T Express</v>
      </c>
      <c r="AA9" s="1" t="str">
        <f>_xlfn.XLOOKUP(G9,[3]Master_SLA_Shipping!$A$2:$A$7,[3]Master_SLA_Shipping!$C$2:$C$7)</f>
        <v>Express</v>
      </c>
      <c r="AB9" s="1">
        <f>_xlfn.XLOOKUP(G9,[3]Master_SLA_Shipping!$A$2:$A$7,[3]Master_SLA_Shipping!$D$2:$D$7)</f>
        <v>2</v>
      </c>
      <c r="AC9" s="7">
        <f>_xlfn.XLOOKUP(G9,[3]Master_SLA_Shipping!$A$2:$A$7,[3]Master_SLA_Shipping!$E$2:$E$7)</f>
        <v>15000</v>
      </c>
      <c r="AD9" s="1" t="e">
        <v>#N/A</v>
      </c>
    </row>
    <row r="10" spans="1:30" x14ac:dyDescent="0.25">
      <c r="A10" s="1" t="s">
        <v>55</v>
      </c>
      <c r="B10" s="2">
        <v>45309</v>
      </c>
      <c r="C10" s="1" t="s">
        <v>56</v>
      </c>
      <c r="D10" s="1" t="s">
        <v>57</v>
      </c>
      <c r="E10" s="1">
        <v>4</v>
      </c>
      <c r="F10" s="1" t="s">
        <v>23</v>
      </c>
      <c r="G10" s="1" t="s">
        <v>24</v>
      </c>
      <c r="H10" s="2">
        <v>45312</v>
      </c>
      <c r="I10" s="2">
        <v>45316</v>
      </c>
      <c r="J10" s="1" t="s">
        <v>31</v>
      </c>
      <c r="K10" s="1" t="s">
        <v>48</v>
      </c>
      <c r="L10" s="1" t="s">
        <v>33</v>
      </c>
      <c r="M10" s="1" t="str">
        <f t="shared" si="0"/>
        <v>CUST-006</v>
      </c>
      <c r="N10" s="1" t="str">
        <f>TRIM(PROPER(VLOOKUP(M10,[1]Master_Customer_Profile!$A$2:$B$11,2,0)))</f>
        <v>Rina Anggraini</v>
      </c>
      <c r="O10" s="4" t="str">
        <f>SUBSTITUTE(SUBSTITUTE(SUBSTITUTE(TRIM(VLOOKUP(M10,[1]Master_Customer_Profile!$A$2:$C$11,3,0)),"+",""),"62","")," ","")</f>
        <v>81122334455</v>
      </c>
      <c r="P10" s="1" t="str">
        <f t="shared" si="1"/>
        <v>PRD-ELEC-004</v>
      </c>
      <c r="Q10" s="1" t="str">
        <f t="shared" si="2"/>
        <v>JNT-REG-TRX-2024-0009-PRD-ELEC-004</v>
      </c>
      <c r="R10" s="1" t="str">
        <f>_xlfn.XLOOKUP(P10,[2]Master_Product_Catalog!$A$2:$A$16,[2]Master_Product_Catalog!$B$2:$B$16,"",3,1)</f>
        <v>Ergonomic Wireless Mouse</v>
      </c>
      <c r="S10" s="1" t="str">
        <f>_xlfn.XLOOKUP(P10,[2]Master_Product_Catalog!$A$2:$A$16,[2]Master_Product_Catalog!$C$2:$C$16,"Nothing")</f>
        <v>Electronics</v>
      </c>
      <c r="T10" s="1" t="str">
        <f>_xlfn.XLOOKUP(P10,[2]Master_Product_Catalog!$A$2:$A$16,[2]Master_Product_Catalog!$D$2:$D$16,"Nothing")</f>
        <v>Computer Accessories</v>
      </c>
      <c r="U10" s="5">
        <f>_xlfn.XLOOKUP(P10,[2]Master_Product_Catalog!$A$2:$A$16,[2]Master_Product_Catalog!$E$2:$E$16,"Nothing")</f>
        <v>350000</v>
      </c>
      <c r="V10" s="6">
        <f>_xlfn.XLOOKUP(P10,[2]Master_Product_Catalog!$A$2:$A$16,[2]Master_Product_Catalog!$F$2:$F$16,"Nothing")</f>
        <v>200000</v>
      </c>
      <c r="W10" s="1" t="str">
        <f>_xlfn.XLOOKUP(P10,[2]Master_Product_Catalog!$A$2:$A$16,[2]Master_Product_Catalog!$G$2:$G$16,"Nothing")</f>
        <v>0.25</v>
      </c>
      <c r="X10" s="1" t="str">
        <f>_xlfn.XLOOKUP(M10,[1]Master_Customer_Profile!$A$2:$A$11,[1]Master_Customer_Profile!$D$2:$D$11)</f>
        <v>Banten</v>
      </c>
      <c r="Y10" s="1" t="str">
        <f>_xlfn.XLOOKUP(M10,[1]Master_Customer_Profile!$A$2:$A$11,[1]Master_Customer_Profile!$G$2:$G$11)</f>
        <v>Silver</v>
      </c>
      <c r="Z10" s="1" t="str">
        <f>_xlfn.XLOOKUP(G10,[3]Master_SLA_Shipping!$A$2:$A$7,[3]Master_SLA_Shipping!$B$2:$B$7)</f>
        <v>J&amp;T Express</v>
      </c>
      <c r="AA10" s="1" t="str">
        <f>_xlfn.XLOOKUP(G10,[3]Master_SLA_Shipping!$A$2:$A$7,[3]Master_SLA_Shipping!$C$2:$C$7)</f>
        <v>Regular</v>
      </c>
      <c r="AB10" s="1">
        <f>_xlfn.XLOOKUP(G10,[3]Master_SLA_Shipping!$A$2:$A$7,[3]Master_SLA_Shipping!$D$2:$D$7)</f>
        <v>4</v>
      </c>
      <c r="AC10" s="7">
        <f>_xlfn.XLOOKUP(G10,[3]Master_SLA_Shipping!$A$2:$A$7,[3]Master_SLA_Shipping!$E$2:$E$7)</f>
        <v>10000</v>
      </c>
      <c r="AD10" s="1" t="e">
        <v>#N/A</v>
      </c>
    </row>
    <row r="11" spans="1:30" x14ac:dyDescent="0.25">
      <c r="A11" s="1" t="s">
        <v>58</v>
      </c>
      <c r="B11" s="2">
        <v>45312</v>
      </c>
      <c r="C11" s="1" t="s">
        <v>29</v>
      </c>
      <c r="D11" s="1" t="s">
        <v>59</v>
      </c>
      <c r="E11" s="1">
        <v>5</v>
      </c>
      <c r="F11" s="1" t="s">
        <v>47</v>
      </c>
      <c r="G11" s="1" t="s">
        <v>54</v>
      </c>
      <c r="H11" s="2">
        <v>45313</v>
      </c>
      <c r="I11" s="2">
        <v>45319</v>
      </c>
      <c r="J11" s="1" t="s">
        <v>38</v>
      </c>
      <c r="K11" s="1" t="s">
        <v>48</v>
      </c>
      <c r="L11" s="1" t="s">
        <v>27</v>
      </c>
      <c r="M11" s="1" t="str">
        <f t="shared" si="0"/>
        <v>CUST-005</v>
      </c>
      <c r="N11" s="1" t="str">
        <f>TRIM(PROPER(VLOOKUP(M11,[1]Master_Customer_Profile!$A$2:$B$11,2,0)))</f>
        <v>Hendra Wijaya</v>
      </c>
      <c r="O11" s="4" t="str">
        <f>SUBSTITUTE(SUBSTITUTE(SUBSTITUTE(TRIM(VLOOKUP(M11,[1]Master_Customer_Profile!$A$2:$C$11,3,0)),"+",""),"62","")," ","")</f>
        <v>8189876543</v>
      </c>
      <c r="P11" s="1" t="str">
        <f t="shared" si="1"/>
        <v>PRD-HOME-003</v>
      </c>
      <c r="Q11" s="1" t="str">
        <f t="shared" si="2"/>
        <v>JNT-EXP-TRX-2024-0010-PRD-HOME-003</v>
      </c>
      <c r="R11" s="1" t="str">
        <f>_xlfn.XLOOKUP(P11,[2]Master_Product_Catalog!$A$2:$A$16,[2]Master_Product_Catalog!$B$2:$B$16,"",3,1)</f>
        <v>Stainless Steel Cookware Set 5pcs</v>
      </c>
      <c r="S11" s="1" t="str">
        <f>_xlfn.XLOOKUP(P11,[2]Master_Product_Catalog!$A$2:$A$16,[2]Master_Product_Catalog!$C$2:$C$16,"Nothing")</f>
        <v>Home &amp; Living</v>
      </c>
      <c r="T11" s="1" t="str">
        <f>_xlfn.XLOOKUP(P11,[2]Master_Product_Catalog!$A$2:$A$16,[2]Master_Product_Catalog!$D$2:$D$16,"Nothing")</f>
        <v>Kitchenware</v>
      </c>
      <c r="U11" s="5">
        <f>_xlfn.XLOOKUP(P11,[2]Master_Product_Catalog!$A$2:$A$16,[2]Master_Product_Catalog!$E$2:$E$16,"Nothing")</f>
        <v>880000</v>
      </c>
      <c r="V11" s="6">
        <f>_xlfn.XLOOKUP(P11,[2]Master_Product_Catalog!$A$2:$A$16,[2]Master_Product_Catalog!$F$2:$F$16,"Nothing")</f>
        <v>540000</v>
      </c>
      <c r="W11" s="1" t="str">
        <f>_xlfn.XLOOKUP(P11,[2]Master_Product_Catalog!$A$2:$A$16,[2]Master_Product_Catalog!$G$2:$G$16,"Nothing")</f>
        <v>3.8</v>
      </c>
      <c r="X11" s="1" t="str">
        <f>_xlfn.XLOOKUP(M11,[1]Master_Customer_Profile!$A$2:$A$11,[1]Master_Customer_Profile!$D$2:$D$11)</f>
        <v>DKI Jakarta</v>
      </c>
      <c r="Y11" s="1" t="str">
        <f>_xlfn.XLOOKUP(M11,[1]Master_Customer_Profile!$A$2:$A$11,[1]Master_Customer_Profile!$G$2:$G$11)</f>
        <v>Gold</v>
      </c>
      <c r="Z11" s="1" t="str">
        <f>_xlfn.XLOOKUP(G11,[3]Master_SLA_Shipping!$A$2:$A$7,[3]Master_SLA_Shipping!$B$2:$B$7)</f>
        <v>J&amp;T Express</v>
      </c>
      <c r="AA11" s="1" t="str">
        <f>_xlfn.XLOOKUP(G11,[3]Master_SLA_Shipping!$A$2:$A$7,[3]Master_SLA_Shipping!$C$2:$C$7)</f>
        <v>Express</v>
      </c>
      <c r="AB11" s="1">
        <f>_xlfn.XLOOKUP(G11,[3]Master_SLA_Shipping!$A$2:$A$7,[3]Master_SLA_Shipping!$D$2:$D$7)</f>
        <v>2</v>
      </c>
      <c r="AC11" s="7">
        <f>_xlfn.XLOOKUP(G11,[3]Master_SLA_Shipping!$A$2:$A$7,[3]Master_SLA_Shipping!$E$2:$E$7)</f>
        <v>15000</v>
      </c>
      <c r="AD11" s="1" t="e">
        <v>#N/A</v>
      </c>
    </row>
    <row r="12" spans="1:30" x14ac:dyDescent="0.25">
      <c r="A12" s="1" t="s">
        <v>60</v>
      </c>
      <c r="B12" s="2">
        <v>45314</v>
      </c>
      <c r="C12" s="1" t="s">
        <v>13</v>
      </c>
      <c r="D12" s="1" t="s">
        <v>61</v>
      </c>
      <c r="E12" s="1">
        <v>4</v>
      </c>
      <c r="F12" s="1" t="s">
        <v>23</v>
      </c>
      <c r="G12" s="1" t="s">
        <v>16</v>
      </c>
      <c r="H12" s="2">
        <v>45315</v>
      </c>
      <c r="I12" s="2">
        <v>45319</v>
      </c>
      <c r="J12" s="1" t="s">
        <v>25</v>
      </c>
      <c r="K12" s="1" t="s">
        <v>62</v>
      </c>
      <c r="L12" s="1" t="s">
        <v>39</v>
      </c>
      <c r="M12" s="1" t="str">
        <f t="shared" si="0"/>
        <v>CUST-002</v>
      </c>
      <c r="N12" s="1" t="str">
        <f>TRIM(PROPER(VLOOKUP(M12,[1]Master_Customer_Profile!$A$2:$B$11,2,0)))</f>
        <v>Siti Nurhaliza</v>
      </c>
      <c r="O12" s="4" t="str">
        <f>SUBSTITUTE(SUBSTITUTE(SUBSTITUTE(TRIM(VLOOKUP(M12,[1]Master_Customer_Profile!$A$2:$C$11,3,0)),"+",""),"62","")," ","")</f>
        <v>8189876543</v>
      </c>
      <c r="P12" s="1" t="str">
        <f t="shared" si="1"/>
        <v>PRD-ELEC-003</v>
      </c>
      <c r="Q12" s="1" t="str">
        <f t="shared" si="2"/>
        <v>SISEPAT-BEST-TRX-2024-0011-PRD-ELEC-003</v>
      </c>
      <c r="R12" s="1" t="str">
        <f>_xlfn.XLOOKUP(P12,[2]Master_Product_Catalog!$A$2:$A$16,[2]Master_Product_Catalog!$B$2:$B$16,"",3,1)</f>
        <v>Mechanical Gaming Keyboard RGB</v>
      </c>
      <c r="S12" s="1" t="str">
        <f>_xlfn.XLOOKUP(P12,[2]Master_Product_Catalog!$A$2:$A$16,[2]Master_Product_Catalog!$C$2:$C$16,"Nothing")</f>
        <v>Electronics</v>
      </c>
      <c r="T12" s="1" t="str">
        <f>_xlfn.XLOOKUP(P12,[2]Master_Product_Catalog!$A$2:$A$16,[2]Master_Product_Catalog!$D$2:$D$16,"Nothing")</f>
        <v>Computer Accessories</v>
      </c>
      <c r="U12" s="5">
        <f>_xlfn.XLOOKUP(P12,[2]Master_Product_Catalog!$A$2:$A$16,[2]Master_Product_Catalog!$E$2:$E$16,"Nothing")</f>
        <v>950000</v>
      </c>
      <c r="V12" s="6">
        <f>_xlfn.XLOOKUP(P12,[2]Master_Product_Catalog!$A$2:$A$16,[2]Master_Product_Catalog!$F$2:$F$16,"Nothing")</f>
        <v>600000</v>
      </c>
      <c r="W12" s="1" t="str">
        <f>_xlfn.XLOOKUP(P12,[2]Master_Product_Catalog!$A$2:$A$16,[2]Master_Product_Catalog!$G$2:$G$16,"Nothing")</f>
        <v>1.2</v>
      </c>
      <c r="X12" s="1" t="str">
        <f>_xlfn.XLOOKUP(M12,[1]Master_Customer_Profile!$A$2:$A$11,[1]Master_Customer_Profile!$D$2:$D$11)</f>
        <v>DKI Jakarta</v>
      </c>
      <c r="Y12" s="1" t="str">
        <f>_xlfn.XLOOKUP(M12,[1]Master_Customer_Profile!$A$2:$A$11,[1]Master_Customer_Profile!$G$2:$G$11)</f>
        <v>Gold</v>
      </c>
      <c r="Z12" s="1" t="str">
        <f>_xlfn.XLOOKUP(G12,[3]Master_SLA_Shipping!$A$2:$A$7,[3]Master_SLA_Shipping!$B$2:$B$7)</f>
        <v>SiCepat</v>
      </c>
      <c r="AA12" s="1" t="str">
        <f>_xlfn.XLOOKUP(G12,[3]Master_SLA_Shipping!$A$2:$A$7,[3]Master_SLA_Shipping!$C$2:$C$7)</f>
        <v>Express</v>
      </c>
      <c r="AB12" s="1">
        <f>_xlfn.XLOOKUP(G12,[3]Master_SLA_Shipping!$A$2:$A$7,[3]Master_SLA_Shipping!$D$2:$D$7)</f>
        <v>2</v>
      </c>
      <c r="AC12" s="7">
        <f>_xlfn.XLOOKUP(G12,[3]Master_SLA_Shipping!$A$2:$A$7,[3]Master_SLA_Shipping!$E$2:$E$7)</f>
        <v>16000</v>
      </c>
      <c r="AD12" s="1" t="e">
        <v>#N/A</v>
      </c>
    </row>
    <row r="13" spans="1:30" x14ac:dyDescent="0.25">
      <c r="A13" s="1" t="s">
        <v>63</v>
      </c>
      <c r="B13" s="2">
        <v>45316</v>
      </c>
      <c r="C13" s="1" t="s">
        <v>64</v>
      </c>
      <c r="D13" s="1" t="s">
        <v>65</v>
      </c>
      <c r="E13" s="1">
        <v>5</v>
      </c>
      <c r="F13" s="1" t="s">
        <v>23</v>
      </c>
      <c r="G13" s="1" t="s">
        <v>37</v>
      </c>
      <c r="H13" s="2">
        <v>45317</v>
      </c>
      <c r="I13" s="2">
        <v>45320</v>
      </c>
      <c r="J13" s="1" t="s">
        <v>38</v>
      </c>
      <c r="K13" s="1" t="s">
        <v>32</v>
      </c>
      <c r="L13" s="1" t="s">
        <v>43</v>
      </c>
      <c r="M13" s="1" t="str">
        <f t="shared" si="0"/>
        <v>CUST-001</v>
      </c>
      <c r="N13" s="1" t="str">
        <f>TRIM(PROPER(VLOOKUP(M13,[1]Master_Customer_Profile!$A$2:$B$11,2,0)))</f>
        <v>Ahmad Fauzi</v>
      </c>
      <c r="O13" s="4" t="str">
        <f>SUBSTITUTE(SUBSTITUTE(SUBSTITUTE(TRIM(VLOOKUP(M13,[1]Master_Customer_Profile!$A$2:$C$11,3,0)),"+",""),"62","")," ","")</f>
        <v>81234567890</v>
      </c>
      <c r="P13" s="1" t="str">
        <f t="shared" si="1"/>
        <v>PRD-HOME-002</v>
      </c>
      <c r="Q13" s="1" t="str">
        <f t="shared" si="2"/>
        <v>JNE-REG-TRX-2024-0012-PRD-HOME-002</v>
      </c>
      <c r="R13" s="1" t="str">
        <f>_xlfn.XLOOKUP(P13,[2]Master_Product_Catalog!$A$2:$A$16,[2]Master_Product_Catalog!$B$2:$B$16,"",3,1)</f>
        <v>Air Purifier HEPA Filter H13</v>
      </c>
      <c r="S13" s="1" t="str">
        <f>_xlfn.XLOOKUP(P13,[2]Master_Product_Catalog!$A$2:$A$16,[2]Master_Product_Catalog!$C$2:$C$16,"Nothing")</f>
        <v>Home &amp; Living</v>
      </c>
      <c r="T13" s="1" t="str">
        <f>_xlfn.XLOOKUP(P13,[2]Master_Product_Catalog!$A$2:$A$16,[2]Master_Product_Catalog!$D$2:$D$16,"Nothing")</f>
        <v>Home Appliances</v>
      </c>
      <c r="U13" s="5">
        <f>_xlfn.XLOOKUP(P13,[2]Master_Product_Catalog!$A$2:$A$16,[2]Master_Product_Catalog!$E$2:$E$16,"Nothing")</f>
        <v>1750000</v>
      </c>
      <c r="V13" s="6">
        <f>_xlfn.XLOOKUP(P13,[2]Master_Product_Catalog!$A$2:$A$16,[2]Master_Product_Catalog!$F$2:$F$16,"Nothing")</f>
        <v>1150000</v>
      </c>
      <c r="W13" s="1" t="str">
        <f>_xlfn.XLOOKUP(P13,[2]Master_Product_Catalog!$A$2:$A$16,[2]Master_Product_Catalog!$G$2:$G$16,"Nothing")</f>
        <v>3.2</v>
      </c>
      <c r="X13" s="1" t="str">
        <f>_xlfn.XLOOKUP(M13,[1]Master_Customer_Profile!$A$2:$A$11,[1]Master_Customer_Profile!$D$2:$D$11)</f>
        <v>Jawa Barat</v>
      </c>
      <c r="Y13" s="1" t="str">
        <f>_xlfn.XLOOKUP(M13,[1]Master_Customer_Profile!$A$2:$A$11,[1]Master_Customer_Profile!$G$2:$G$11)</f>
        <v>VIP</v>
      </c>
      <c r="Z13" s="1" t="str">
        <f>_xlfn.XLOOKUP(G13,[3]Master_SLA_Shipping!$A$2:$A$7,[3]Master_SLA_Shipping!$B$2:$B$7)</f>
        <v>JNE</v>
      </c>
      <c r="AA13" s="1" t="str">
        <f>_xlfn.XLOOKUP(G13,[3]Master_SLA_Shipping!$A$2:$A$7,[3]Master_SLA_Shipping!$C$2:$C$7)</f>
        <v>Regular</v>
      </c>
      <c r="AB13" s="1">
        <f>_xlfn.XLOOKUP(G13,[3]Master_SLA_Shipping!$A$2:$A$7,[3]Master_SLA_Shipping!$D$2:$D$7)</f>
        <v>3</v>
      </c>
      <c r="AC13" s="7">
        <f>_xlfn.XLOOKUP(G13,[3]Master_SLA_Shipping!$A$2:$A$7,[3]Master_SLA_Shipping!$E$2:$E$7)</f>
        <v>12000</v>
      </c>
      <c r="AD13" s="1" t="e">
        <v>#N/A</v>
      </c>
    </row>
    <row r="14" spans="1:30" x14ac:dyDescent="0.25">
      <c r="A14" s="1" t="s">
        <v>66</v>
      </c>
      <c r="B14" s="2">
        <v>45318</v>
      </c>
      <c r="C14" s="1" t="s">
        <v>21</v>
      </c>
      <c r="D14" s="1" t="s">
        <v>59</v>
      </c>
      <c r="E14" s="1">
        <v>5</v>
      </c>
      <c r="F14" s="1" t="s">
        <v>23</v>
      </c>
      <c r="G14" s="1" t="s">
        <v>67</v>
      </c>
      <c r="H14" s="2">
        <v>45321</v>
      </c>
      <c r="I14" s="2">
        <v>45325</v>
      </c>
      <c r="J14" s="1" t="s">
        <v>17</v>
      </c>
      <c r="K14" s="1" t="s">
        <v>26</v>
      </c>
      <c r="L14" s="1" t="s">
        <v>43</v>
      </c>
      <c r="M14" s="1" t="str">
        <f t="shared" si="0"/>
        <v>CUST-001</v>
      </c>
      <c r="N14" s="1" t="str">
        <f>TRIM(PROPER(VLOOKUP(M14,[1]Master_Customer_Profile!$A$2:$B$11,2,0)))</f>
        <v>Ahmad Fauzi</v>
      </c>
      <c r="O14" s="4" t="str">
        <f>SUBSTITUTE(SUBSTITUTE(SUBSTITUTE(TRIM(VLOOKUP(M14,[1]Master_Customer_Profile!$A$2:$C$11,3,0)),"+",""),"62","")," ","")</f>
        <v>81234567890</v>
      </c>
      <c r="P14" s="1" t="str">
        <f t="shared" si="1"/>
        <v>PRD-HOME-003</v>
      </c>
      <c r="Q14" s="1" t="str">
        <f t="shared" si="2"/>
        <v>SISEPAT-GOKIL-TRX-2024-0013-PRD-HOME-003</v>
      </c>
      <c r="R14" s="1" t="str">
        <f>_xlfn.XLOOKUP(P14,[2]Master_Product_Catalog!$A$2:$A$16,[2]Master_Product_Catalog!$B$2:$B$16,"",3,1)</f>
        <v>Stainless Steel Cookware Set 5pcs</v>
      </c>
      <c r="S14" s="1" t="str">
        <f>_xlfn.XLOOKUP(P14,[2]Master_Product_Catalog!$A$2:$A$16,[2]Master_Product_Catalog!$C$2:$C$16,"Nothing")</f>
        <v>Home &amp; Living</v>
      </c>
      <c r="T14" s="1" t="str">
        <f>_xlfn.XLOOKUP(P14,[2]Master_Product_Catalog!$A$2:$A$16,[2]Master_Product_Catalog!$D$2:$D$16,"Nothing")</f>
        <v>Kitchenware</v>
      </c>
      <c r="U14" s="5">
        <f>_xlfn.XLOOKUP(P14,[2]Master_Product_Catalog!$A$2:$A$16,[2]Master_Product_Catalog!$E$2:$E$16,"Nothing")</f>
        <v>880000</v>
      </c>
      <c r="V14" s="6">
        <f>_xlfn.XLOOKUP(P14,[2]Master_Product_Catalog!$A$2:$A$16,[2]Master_Product_Catalog!$F$2:$F$16,"Nothing")</f>
        <v>540000</v>
      </c>
      <c r="W14" s="1" t="str">
        <f>_xlfn.XLOOKUP(P14,[2]Master_Product_Catalog!$A$2:$A$16,[2]Master_Product_Catalog!$G$2:$G$16,"Nothing")</f>
        <v>3.8</v>
      </c>
      <c r="X14" s="1" t="str">
        <f>_xlfn.XLOOKUP(M14,[1]Master_Customer_Profile!$A$2:$A$11,[1]Master_Customer_Profile!$D$2:$D$11)</f>
        <v>Jawa Barat</v>
      </c>
      <c r="Y14" s="1" t="str">
        <f>_xlfn.XLOOKUP(M14,[1]Master_Customer_Profile!$A$2:$A$11,[1]Master_Customer_Profile!$G$2:$G$11)</f>
        <v>VIP</v>
      </c>
      <c r="Z14" s="1" t="str">
        <f>_xlfn.XLOOKUP(G14,[3]Master_SLA_Shipping!$A$2:$A$7,[3]Master_SLA_Shipping!$B$2:$B$7)</f>
        <v>SiCepat</v>
      </c>
      <c r="AA14" s="1" t="str">
        <f>_xlfn.XLOOKUP(G14,[3]Master_SLA_Shipping!$A$2:$A$7,[3]Master_SLA_Shipping!$C$2:$C$7)</f>
        <v>Cargo</v>
      </c>
      <c r="AB14" s="1">
        <f>_xlfn.XLOOKUP(G14,[3]Master_SLA_Shipping!$A$2:$A$7,[3]Master_SLA_Shipping!$D$2:$D$7)</f>
        <v>5</v>
      </c>
      <c r="AC14" s="7">
        <f>_xlfn.XLOOKUP(G14,[3]Master_SLA_Shipping!$A$2:$A$7,[3]Master_SLA_Shipping!$E$2:$E$7)</f>
        <v>8000</v>
      </c>
      <c r="AD14" s="1" t="e">
        <v>#N/A</v>
      </c>
    </row>
    <row r="15" spans="1:30" x14ac:dyDescent="0.25">
      <c r="A15" s="1" t="s">
        <v>68</v>
      </c>
      <c r="B15" s="2">
        <v>45320</v>
      </c>
      <c r="C15" s="1" t="s">
        <v>45</v>
      </c>
      <c r="D15" s="1" t="s">
        <v>69</v>
      </c>
      <c r="E15" s="1">
        <v>5</v>
      </c>
      <c r="F15" s="1" t="s">
        <v>23</v>
      </c>
      <c r="G15" s="1" t="s">
        <v>37</v>
      </c>
      <c r="H15" s="2">
        <v>45321</v>
      </c>
      <c r="I15" s="2">
        <v>45322</v>
      </c>
      <c r="J15" s="1" t="s">
        <v>70</v>
      </c>
      <c r="K15" s="1" t="s">
        <v>18</v>
      </c>
      <c r="L15" s="1" t="s">
        <v>19</v>
      </c>
      <c r="M15" s="1" t="str">
        <f t="shared" si="0"/>
        <v>CUST-004</v>
      </c>
      <c r="N15" s="1" t="str">
        <f>TRIM(PROPER(VLOOKUP(M15,[1]Master_Customer_Profile!$A$2:$B$11,2,0)))</f>
        <v>Dewi Lestari</v>
      </c>
      <c r="O15" s="4" t="str">
        <f>SUBSTITUTE(SUBSTITUTE(SUBSTITUTE(TRIM(VLOOKUP(M15,[1]Master_Customer_Profile!$A$2:$C$11,3,0)),"+",""),"62","")," ","")</f>
        <v>87855443322</v>
      </c>
      <c r="P15" s="1" t="str">
        <f t="shared" si="1"/>
        <v>PRD-ELEC-003</v>
      </c>
      <c r="Q15" s="1" t="str">
        <f t="shared" si="2"/>
        <v>JNE-REG-TRX-2024-0014-PRD-ELEC-003</v>
      </c>
      <c r="R15" s="1" t="str">
        <f>_xlfn.XLOOKUP(P15,[2]Master_Product_Catalog!$A$2:$A$16,[2]Master_Product_Catalog!$B$2:$B$16,"",3,1)</f>
        <v>Mechanical Gaming Keyboard RGB</v>
      </c>
      <c r="S15" s="1" t="str">
        <f>_xlfn.XLOOKUP(P15,[2]Master_Product_Catalog!$A$2:$A$16,[2]Master_Product_Catalog!$C$2:$C$16,"Nothing")</f>
        <v>Electronics</v>
      </c>
      <c r="T15" s="1" t="str">
        <f>_xlfn.XLOOKUP(P15,[2]Master_Product_Catalog!$A$2:$A$16,[2]Master_Product_Catalog!$D$2:$D$16,"Nothing")</f>
        <v>Computer Accessories</v>
      </c>
      <c r="U15" s="5">
        <f>_xlfn.XLOOKUP(P15,[2]Master_Product_Catalog!$A$2:$A$16,[2]Master_Product_Catalog!$E$2:$E$16,"Nothing")</f>
        <v>950000</v>
      </c>
      <c r="V15" s="6">
        <f>_xlfn.XLOOKUP(P15,[2]Master_Product_Catalog!$A$2:$A$16,[2]Master_Product_Catalog!$F$2:$F$16,"Nothing")</f>
        <v>600000</v>
      </c>
      <c r="W15" s="1" t="str">
        <f>_xlfn.XLOOKUP(P15,[2]Master_Product_Catalog!$A$2:$A$16,[2]Master_Product_Catalog!$G$2:$G$16,"Nothing")</f>
        <v>1.2</v>
      </c>
      <c r="X15" s="1" t="str">
        <f>_xlfn.XLOOKUP(M15,[1]Master_Customer_Profile!$A$2:$A$11,[1]Master_Customer_Profile!$D$2:$D$11)</f>
        <v>Jawa Timur</v>
      </c>
      <c r="Y15" s="1" t="str">
        <f>_xlfn.XLOOKUP(M15,[1]Master_Customer_Profile!$A$2:$A$11,[1]Master_Customer_Profile!$G$2:$G$11)</f>
        <v>Silver</v>
      </c>
      <c r="Z15" s="1" t="str">
        <f>_xlfn.XLOOKUP(G15,[3]Master_SLA_Shipping!$A$2:$A$7,[3]Master_SLA_Shipping!$B$2:$B$7)</f>
        <v>JNE</v>
      </c>
      <c r="AA15" s="1" t="str">
        <f>_xlfn.XLOOKUP(G15,[3]Master_SLA_Shipping!$A$2:$A$7,[3]Master_SLA_Shipping!$C$2:$C$7)</f>
        <v>Regular</v>
      </c>
      <c r="AB15" s="1">
        <f>_xlfn.XLOOKUP(G15,[3]Master_SLA_Shipping!$A$2:$A$7,[3]Master_SLA_Shipping!$D$2:$D$7)</f>
        <v>3</v>
      </c>
      <c r="AC15" s="7">
        <f>_xlfn.XLOOKUP(G15,[3]Master_SLA_Shipping!$A$2:$A$7,[3]Master_SLA_Shipping!$E$2:$E$7)</f>
        <v>12000</v>
      </c>
      <c r="AD15" s="1" t="e">
        <v>#N/A</v>
      </c>
    </row>
    <row r="16" spans="1:30" x14ac:dyDescent="0.25">
      <c r="A16" s="1" t="s">
        <v>71</v>
      </c>
      <c r="B16" s="2">
        <v>45321</v>
      </c>
      <c r="C16" s="1" t="s">
        <v>56</v>
      </c>
      <c r="D16" s="1" t="s">
        <v>72</v>
      </c>
      <c r="E16" s="1">
        <v>2</v>
      </c>
      <c r="F16" s="1" t="s">
        <v>73</v>
      </c>
      <c r="G16" s="1" t="s">
        <v>67</v>
      </c>
      <c r="H16" s="2">
        <v>45323</v>
      </c>
      <c r="I16" s="2">
        <v>45329</v>
      </c>
      <c r="J16" s="1" t="s">
        <v>17</v>
      </c>
      <c r="K16" s="1" t="s">
        <v>26</v>
      </c>
      <c r="L16" s="1" t="s">
        <v>43</v>
      </c>
      <c r="M16" s="1" t="str">
        <f t="shared" si="0"/>
        <v>CUST-006</v>
      </c>
      <c r="N16" s="1" t="str">
        <f>TRIM(PROPER(VLOOKUP(M16,[1]Master_Customer_Profile!$A$2:$B$11,2,0)))</f>
        <v>Rina Anggraini</v>
      </c>
      <c r="O16" s="4" t="str">
        <f>SUBSTITUTE(SUBSTITUTE(SUBSTITUTE(TRIM(VLOOKUP(M16,[1]Master_Customer_Profile!$A$2:$C$11,3,0)),"+",""),"62","")," ","")</f>
        <v>81122334455</v>
      </c>
      <c r="P16" s="1" t="str">
        <f t="shared" si="1"/>
        <v>PRD-BEAU-003</v>
      </c>
      <c r="Q16" s="1" t="str">
        <f t="shared" si="2"/>
        <v>SISEPAT-GOKIL-TRX-2024-0015-PRD-BEAU-003</v>
      </c>
      <c r="R16" s="1" t="str">
        <f>_xlfn.XLOOKUP(P16,[2]Master_Product_Catalog!$A$2:$A$16,[2]Master_Product_Catalog!$B$2:$B$16,"",3,1)</f>
        <v>Sonic Electric Toothbrush Pro</v>
      </c>
      <c r="S16" s="1" t="str">
        <f>_xlfn.XLOOKUP(P16,[2]Master_Product_Catalog!$A$2:$A$16,[2]Master_Product_Catalog!$C$2:$C$16,"Nothing")</f>
        <v>Beauty &amp; Health</v>
      </c>
      <c r="T16" s="1" t="str">
        <f>_xlfn.XLOOKUP(P16,[2]Master_Product_Catalog!$A$2:$A$16,[2]Master_Product_Catalog!$D$2:$D$16,"Nothing")</f>
        <v>Personal Care</v>
      </c>
      <c r="U16" s="5">
        <f>_xlfn.XLOOKUP(P16,[2]Master_Product_Catalog!$A$2:$A$16,[2]Master_Product_Catalog!$E$2:$E$16,"Nothing")</f>
        <v>490000</v>
      </c>
      <c r="V16" s="6">
        <f>_xlfn.XLOOKUP(P16,[2]Master_Product_Catalog!$A$2:$A$16,[2]Master_Product_Catalog!$F$2:$F$16,"Nothing")</f>
        <v>290000</v>
      </c>
      <c r="W16" s="1" t="str">
        <f>_xlfn.XLOOKUP(P16,[2]Master_Product_Catalog!$A$2:$A$16,[2]Master_Product_Catalog!$G$2:$G$16,"Nothing")</f>
        <v>0.4</v>
      </c>
      <c r="X16" s="1" t="str">
        <f>_xlfn.XLOOKUP(M16,[1]Master_Customer_Profile!$A$2:$A$11,[1]Master_Customer_Profile!$D$2:$D$11)</f>
        <v>Banten</v>
      </c>
      <c r="Y16" s="1" t="str">
        <f>_xlfn.XLOOKUP(M16,[1]Master_Customer_Profile!$A$2:$A$11,[1]Master_Customer_Profile!$G$2:$G$11)</f>
        <v>Silver</v>
      </c>
      <c r="Z16" s="1" t="str">
        <f>_xlfn.XLOOKUP(G16,[3]Master_SLA_Shipping!$A$2:$A$7,[3]Master_SLA_Shipping!$B$2:$B$7)</f>
        <v>SiCepat</v>
      </c>
      <c r="AA16" s="1" t="str">
        <f>_xlfn.XLOOKUP(G16,[3]Master_SLA_Shipping!$A$2:$A$7,[3]Master_SLA_Shipping!$C$2:$C$7)</f>
        <v>Cargo</v>
      </c>
      <c r="AB16" s="1">
        <f>_xlfn.XLOOKUP(G16,[3]Master_SLA_Shipping!$A$2:$A$7,[3]Master_SLA_Shipping!$D$2:$D$7)</f>
        <v>5</v>
      </c>
      <c r="AC16" s="7">
        <f>_xlfn.XLOOKUP(G16,[3]Master_SLA_Shipping!$A$2:$A$7,[3]Master_SLA_Shipping!$E$2:$E$7)</f>
        <v>8000</v>
      </c>
      <c r="AD16" s="1" t="e">
        <v>#N/A</v>
      </c>
    </row>
    <row r="17" spans="1:30" x14ac:dyDescent="0.25">
      <c r="A17" s="1" t="s">
        <v>74</v>
      </c>
      <c r="B17" s="2">
        <v>45324</v>
      </c>
      <c r="C17" s="1" t="s">
        <v>35</v>
      </c>
      <c r="D17" s="1" t="s">
        <v>75</v>
      </c>
      <c r="E17" s="1">
        <v>2</v>
      </c>
      <c r="F17" s="1" t="s">
        <v>23</v>
      </c>
      <c r="G17" s="1" t="s">
        <v>16</v>
      </c>
      <c r="H17" s="2">
        <v>45327</v>
      </c>
      <c r="I17" s="2">
        <v>45330</v>
      </c>
      <c r="J17" s="1" t="s">
        <v>31</v>
      </c>
      <c r="K17" s="1" t="s">
        <v>26</v>
      </c>
      <c r="L17" s="1" t="s">
        <v>27</v>
      </c>
      <c r="M17" s="1" t="str">
        <f t="shared" si="0"/>
        <v>CUST-002</v>
      </c>
      <c r="N17" s="1" t="str">
        <f>TRIM(PROPER(VLOOKUP(M17,[1]Master_Customer_Profile!$A$2:$B$11,2,0)))</f>
        <v>Siti Nurhaliza</v>
      </c>
      <c r="O17" s="4" t="str">
        <f>SUBSTITUTE(SUBSTITUTE(SUBSTITUTE(TRIM(VLOOKUP(M17,[1]Master_Customer_Profile!$A$2:$C$11,3,0)),"+",""),"62","")," ","")</f>
        <v>8189876543</v>
      </c>
      <c r="P17" s="1" t="str">
        <f t="shared" si="1"/>
        <v>PRD-BEAU-001</v>
      </c>
      <c r="Q17" s="1" t="str">
        <f t="shared" si="2"/>
        <v>SISEPAT-BEST-TRX-2024-0016-PRD-BEAU-001</v>
      </c>
      <c r="R17" s="1" t="str">
        <f>_xlfn.XLOOKUP(P17,[2]Master_Product_Catalog!$A$2:$A$16,[2]Master_Product_Catalog!$B$2:$B$16,"",3,1)</f>
        <v>Hydrating Serum Vitamin C 50ml</v>
      </c>
      <c r="S17" s="1" t="str">
        <f>_xlfn.XLOOKUP(P17,[2]Master_Product_Catalog!$A$2:$A$16,[2]Master_Product_Catalog!$C$2:$C$16,"Nothing")</f>
        <v>Beauty &amp; Health</v>
      </c>
      <c r="T17" s="1" t="str">
        <f>_xlfn.XLOOKUP(P17,[2]Master_Product_Catalog!$A$2:$A$16,[2]Master_Product_Catalog!$D$2:$D$16,"Nothing")</f>
        <v>Skincare</v>
      </c>
      <c r="U17" s="5">
        <f>_xlfn.XLOOKUP(P17,[2]Master_Product_Catalog!$A$2:$A$16,[2]Master_Product_Catalog!$E$2:$E$16,"Nothing")</f>
        <v>185000</v>
      </c>
      <c r="V17" s="6">
        <f>_xlfn.XLOOKUP(P17,[2]Master_Product_Catalog!$A$2:$A$16,[2]Master_Product_Catalog!$F$2:$F$16,"Nothing")</f>
        <v>85000</v>
      </c>
      <c r="W17" s="1" t="str">
        <f>_xlfn.XLOOKUP(P17,[2]Master_Product_Catalog!$A$2:$A$16,[2]Master_Product_Catalog!$G$2:$G$16,"Nothing")</f>
        <v>0.1</v>
      </c>
      <c r="X17" s="1" t="str">
        <f>_xlfn.XLOOKUP(M17,[1]Master_Customer_Profile!$A$2:$A$11,[1]Master_Customer_Profile!$D$2:$D$11)</f>
        <v>DKI Jakarta</v>
      </c>
      <c r="Y17" s="1" t="str">
        <f>_xlfn.XLOOKUP(M17,[1]Master_Customer_Profile!$A$2:$A$11,[1]Master_Customer_Profile!$G$2:$G$11)</f>
        <v>Gold</v>
      </c>
      <c r="Z17" s="1" t="str">
        <f>_xlfn.XLOOKUP(G17,[3]Master_SLA_Shipping!$A$2:$A$7,[3]Master_SLA_Shipping!$B$2:$B$7)</f>
        <v>SiCepat</v>
      </c>
      <c r="AA17" s="1" t="str">
        <f>_xlfn.XLOOKUP(G17,[3]Master_SLA_Shipping!$A$2:$A$7,[3]Master_SLA_Shipping!$C$2:$C$7)</f>
        <v>Express</v>
      </c>
      <c r="AB17" s="1">
        <f>_xlfn.XLOOKUP(G17,[3]Master_SLA_Shipping!$A$2:$A$7,[3]Master_SLA_Shipping!$D$2:$D$7)</f>
        <v>2</v>
      </c>
      <c r="AC17" s="7">
        <f>_xlfn.XLOOKUP(G17,[3]Master_SLA_Shipping!$A$2:$A$7,[3]Master_SLA_Shipping!$E$2:$E$7)</f>
        <v>16000</v>
      </c>
      <c r="AD17" s="1" t="e">
        <v>#N/A</v>
      </c>
    </row>
    <row r="18" spans="1:30" x14ac:dyDescent="0.25">
      <c r="A18" s="1" t="s">
        <v>76</v>
      </c>
      <c r="B18" s="2">
        <v>45326</v>
      </c>
      <c r="C18" s="1" t="s">
        <v>45</v>
      </c>
      <c r="D18" s="1" t="s">
        <v>72</v>
      </c>
      <c r="E18" s="1">
        <v>2</v>
      </c>
      <c r="F18" s="1" t="s">
        <v>23</v>
      </c>
      <c r="G18" s="1" t="s">
        <v>16</v>
      </c>
      <c r="H18" s="2">
        <v>45328</v>
      </c>
      <c r="I18" s="2">
        <v>45329</v>
      </c>
      <c r="J18" s="1" t="s">
        <v>38</v>
      </c>
      <c r="K18" s="1" t="s">
        <v>62</v>
      </c>
      <c r="L18" s="1" t="s">
        <v>33</v>
      </c>
      <c r="M18" s="1" t="str">
        <f t="shared" si="0"/>
        <v>CUST-004</v>
      </c>
      <c r="N18" s="1" t="str">
        <f>TRIM(PROPER(VLOOKUP(M18,[1]Master_Customer_Profile!$A$2:$B$11,2,0)))</f>
        <v>Dewi Lestari</v>
      </c>
      <c r="O18" s="4" t="str">
        <f>SUBSTITUTE(SUBSTITUTE(SUBSTITUTE(TRIM(VLOOKUP(M18,[1]Master_Customer_Profile!$A$2:$C$11,3,0)),"+",""),"62","")," ","")</f>
        <v>87855443322</v>
      </c>
      <c r="P18" s="1" t="str">
        <f t="shared" si="1"/>
        <v>PRD-BEAU-003</v>
      </c>
      <c r="Q18" s="1" t="str">
        <f t="shared" si="2"/>
        <v>SISEPAT-BEST-TRX-2024-0017-PRD-BEAU-003</v>
      </c>
      <c r="R18" s="1" t="str">
        <f>_xlfn.XLOOKUP(P18,[2]Master_Product_Catalog!$A$2:$A$16,[2]Master_Product_Catalog!$B$2:$B$16,"",3,1)</f>
        <v>Sonic Electric Toothbrush Pro</v>
      </c>
      <c r="S18" s="1" t="str">
        <f>_xlfn.XLOOKUP(P18,[2]Master_Product_Catalog!$A$2:$A$16,[2]Master_Product_Catalog!$C$2:$C$16,"Nothing")</f>
        <v>Beauty &amp; Health</v>
      </c>
      <c r="T18" s="1" t="str">
        <f>_xlfn.XLOOKUP(P18,[2]Master_Product_Catalog!$A$2:$A$16,[2]Master_Product_Catalog!$D$2:$D$16,"Nothing")</f>
        <v>Personal Care</v>
      </c>
      <c r="U18" s="5">
        <f>_xlfn.XLOOKUP(P18,[2]Master_Product_Catalog!$A$2:$A$16,[2]Master_Product_Catalog!$E$2:$E$16,"Nothing")</f>
        <v>490000</v>
      </c>
      <c r="V18" s="6">
        <f>_xlfn.XLOOKUP(P18,[2]Master_Product_Catalog!$A$2:$A$16,[2]Master_Product_Catalog!$F$2:$F$16,"Nothing")</f>
        <v>290000</v>
      </c>
      <c r="W18" s="1" t="str">
        <f>_xlfn.XLOOKUP(P18,[2]Master_Product_Catalog!$A$2:$A$16,[2]Master_Product_Catalog!$G$2:$G$16,"Nothing")</f>
        <v>0.4</v>
      </c>
      <c r="X18" s="1" t="str">
        <f>_xlfn.XLOOKUP(M18,[1]Master_Customer_Profile!$A$2:$A$11,[1]Master_Customer_Profile!$D$2:$D$11)</f>
        <v>Jawa Timur</v>
      </c>
      <c r="Y18" s="1" t="str">
        <f>_xlfn.XLOOKUP(M18,[1]Master_Customer_Profile!$A$2:$A$11,[1]Master_Customer_Profile!$G$2:$G$11)</f>
        <v>Silver</v>
      </c>
      <c r="Z18" s="1" t="str">
        <f>_xlfn.XLOOKUP(G18,[3]Master_SLA_Shipping!$A$2:$A$7,[3]Master_SLA_Shipping!$B$2:$B$7)</f>
        <v>SiCepat</v>
      </c>
      <c r="AA18" s="1" t="str">
        <f>_xlfn.XLOOKUP(G18,[3]Master_SLA_Shipping!$A$2:$A$7,[3]Master_SLA_Shipping!$C$2:$C$7)</f>
        <v>Express</v>
      </c>
      <c r="AB18" s="1">
        <f>_xlfn.XLOOKUP(G18,[3]Master_SLA_Shipping!$A$2:$A$7,[3]Master_SLA_Shipping!$D$2:$D$7)</f>
        <v>2</v>
      </c>
      <c r="AC18" s="7">
        <f>_xlfn.XLOOKUP(G18,[3]Master_SLA_Shipping!$A$2:$A$7,[3]Master_SLA_Shipping!$E$2:$E$7)</f>
        <v>16000</v>
      </c>
      <c r="AD18" s="1" t="e">
        <v>#N/A</v>
      </c>
    </row>
    <row r="19" spans="1:30" x14ac:dyDescent="0.25">
      <c r="A19" s="1" t="s">
        <v>77</v>
      </c>
      <c r="B19" s="2">
        <v>45327</v>
      </c>
      <c r="C19" s="1" t="s">
        <v>45</v>
      </c>
      <c r="D19" s="1" t="s">
        <v>78</v>
      </c>
      <c r="E19" s="1">
        <v>1</v>
      </c>
      <c r="F19" s="1" t="s">
        <v>23</v>
      </c>
      <c r="G19" s="1" t="s">
        <v>54</v>
      </c>
      <c r="H19" s="2">
        <v>45328</v>
      </c>
      <c r="I19" s="2">
        <v>45333</v>
      </c>
      <c r="J19" s="1" t="s">
        <v>70</v>
      </c>
      <c r="K19" s="1" t="s">
        <v>48</v>
      </c>
      <c r="L19" s="1" t="s">
        <v>19</v>
      </c>
      <c r="M19" s="1" t="str">
        <f t="shared" si="0"/>
        <v>CUST-004</v>
      </c>
      <c r="N19" s="1" t="str">
        <f>TRIM(PROPER(VLOOKUP(M19,[1]Master_Customer_Profile!$A$2:$B$11,2,0)))</f>
        <v>Dewi Lestari</v>
      </c>
      <c r="O19" s="4" t="str">
        <f>SUBSTITUTE(SUBSTITUTE(SUBSTITUTE(TRIM(VLOOKUP(M19,[1]Master_Customer_Profile!$A$2:$C$11,3,0)),"+",""),"62","")," ","")</f>
        <v>87855443322</v>
      </c>
      <c r="P19" s="1" t="str">
        <f t="shared" si="1"/>
        <v>PRD-ELEC-004</v>
      </c>
      <c r="Q19" s="1" t="str">
        <f t="shared" si="2"/>
        <v>JNT-EXP-TRX-2024-0018-PRD-ELEC-004</v>
      </c>
      <c r="R19" s="1" t="str">
        <f>_xlfn.XLOOKUP(P19,[2]Master_Product_Catalog!$A$2:$A$16,[2]Master_Product_Catalog!$B$2:$B$16,"",3,1)</f>
        <v>Ergonomic Wireless Mouse</v>
      </c>
      <c r="S19" s="1" t="str">
        <f>_xlfn.XLOOKUP(P19,[2]Master_Product_Catalog!$A$2:$A$16,[2]Master_Product_Catalog!$C$2:$C$16,"Nothing")</f>
        <v>Electronics</v>
      </c>
      <c r="T19" s="1" t="str">
        <f>_xlfn.XLOOKUP(P19,[2]Master_Product_Catalog!$A$2:$A$16,[2]Master_Product_Catalog!$D$2:$D$16,"Nothing")</f>
        <v>Computer Accessories</v>
      </c>
      <c r="U19" s="5">
        <f>_xlfn.XLOOKUP(P19,[2]Master_Product_Catalog!$A$2:$A$16,[2]Master_Product_Catalog!$E$2:$E$16,"Nothing")</f>
        <v>350000</v>
      </c>
      <c r="V19" s="6">
        <f>_xlfn.XLOOKUP(P19,[2]Master_Product_Catalog!$A$2:$A$16,[2]Master_Product_Catalog!$F$2:$F$16,"Nothing")</f>
        <v>200000</v>
      </c>
      <c r="W19" s="1" t="str">
        <f>_xlfn.XLOOKUP(P19,[2]Master_Product_Catalog!$A$2:$A$16,[2]Master_Product_Catalog!$G$2:$G$16,"Nothing")</f>
        <v>0.25</v>
      </c>
      <c r="X19" s="1" t="str">
        <f>_xlfn.XLOOKUP(M19,[1]Master_Customer_Profile!$A$2:$A$11,[1]Master_Customer_Profile!$D$2:$D$11)</f>
        <v>Jawa Timur</v>
      </c>
      <c r="Y19" s="1" t="str">
        <f>_xlfn.XLOOKUP(M19,[1]Master_Customer_Profile!$A$2:$A$11,[1]Master_Customer_Profile!$G$2:$G$11)</f>
        <v>Silver</v>
      </c>
      <c r="Z19" s="1" t="str">
        <f>_xlfn.XLOOKUP(G19,[3]Master_SLA_Shipping!$A$2:$A$7,[3]Master_SLA_Shipping!$B$2:$B$7)</f>
        <v>J&amp;T Express</v>
      </c>
      <c r="AA19" s="1" t="str">
        <f>_xlfn.XLOOKUP(G19,[3]Master_SLA_Shipping!$A$2:$A$7,[3]Master_SLA_Shipping!$C$2:$C$7)</f>
        <v>Express</v>
      </c>
      <c r="AB19" s="1">
        <f>_xlfn.XLOOKUP(G19,[3]Master_SLA_Shipping!$A$2:$A$7,[3]Master_SLA_Shipping!$D$2:$D$7)</f>
        <v>2</v>
      </c>
      <c r="AC19" s="7">
        <f>_xlfn.XLOOKUP(G19,[3]Master_SLA_Shipping!$A$2:$A$7,[3]Master_SLA_Shipping!$E$2:$E$7)</f>
        <v>15000</v>
      </c>
      <c r="AD19" s="1" t="e">
        <v>#N/A</v>
      </c>
    </row>
    <row r="20" spans="1:30" x14ac:dyDescent="0.25">
      <c r="A20" s="1" t="s">
        <v>79</v>
      </c>
      <c r="B20" s="2">
        <v>45330</v>
      </c>
      <c r="C20" s="1" t="s">
        <v>21</v>
      </c>
      <c r="D20" s="1" t="s">
        <v>80</v>
      </c>
      <c r="E20" s="1">
        <v>3</v>
      </c>
      <c r="F20" s="1" t="s">
        <v>73</v>
      </c>
      <c r="G20" s="1" t="s">
        <v>24</v>
      </c>
      <c r="H20" s="2">
        <v>45333</v>
      </c>
      <c r="I20" s="2">
        <v>45335</v>
      </c>
      <c r="J20" s="1" t="s">
        <v>70</v>
      </c>
      <c r="K20" s="1" t="s">
        <v>48</v>
      </c>
      <c r="L20" s="1" t="s">
        <v>33</v>
      </c>
      <c r="M20" s="1" t="str">
        <f t="shared" si="0"/>
        <v>CUST-001</v>
      </c>
      <c r="N20" s="1" t="str">
        <f>TRIM(PROPER(VLOOKUP(M20,[1]Master_Customer_Profile!$A$2:$B$11,2,0)))</f>
        <v>Ahmad Fauzi</v>
      </c>
      <c r="O20" s="4" t="str">
        <f>SUBSTITUTE(SUBSTITUTE(SUBSTITUTE(TRIM(VLOOKUP(M20,[1]Master_Customer_Profile!$A$2:$C$11,3,0)),"+",""),"62","")," ","")</f>
        <v>81234567890</v>
      </c>
      <c r="P20" s="1" t="str">
        <f t="shared" si="1"/>
        <v>PRD-ELEC-004</v>
      </c>
      <c r="Q20" s="1" t="str">
        <f t="shared" si="2"/>
        <v>JNT-REG-TRX-2024-0019-PRD-ELEC-004</v>
      </c>
      <c r="R20" s="1" t="str">
        <f>_xlfn.XLOOKUP(P20,[2]Master_Product_Catalog!$A$2:$A$16,[2]Master_Product_Catalog!$B$2:$B$16,"",3,1)</f>
        <v>Ergonomic Wireless Mouse</v>
      </c>
      <c r="S20" s="1" t="str">
        <f>_xlfn.XLOOKUP(P20,[2]Master_Product_Catalog!$A$2:$A$16,[2]Master_Product_Catalog!$C$2:$C$16,"Nothing")</f>
        <v>Electronics</v>
      </c>
      <c r="T20" s="1" t="str">
        <f>_xlfn.XLOOKUP(P20,[2]Master_Product_Catalog!$A$2:$A$16,[2]Master_Product_Catalog!$D$2:$D$16,"Nothing")</f>
        <v>Computer Accessories</v>
      </c>
      <c r="U20" s="5">
        <f>_xlfn.XLOOKUP(P20,[2]Master_Product_Catalog!$A$2:$A$16,[2]Master_Product_Catalog!$E$2:$E$16,"Nothing")</f>
        <v>350000</v>
      </c>
      <c r="V20" s="6">
        <f>_xlfn.XLOOKUP(P20,[2]Master_Product_Catalog!$A$2:$A$16,[2]Master_Product_Catalog!$F$2:$F$16,"Nothing")</f>
        <v>200000</v>
      </c>
      <c r="W20" s="1" t="str">
        <f>_xlfn.XLOOKUP(P20,[2]Master_Product_Catalog!$A$2:$A$16,[2]Master_Product_Catalog!$G$2:$G$16,"Nothing")</f>
        <v>0.25</v>
      </c>
      <c r="X20" s="1" t="str">
        <f>_xlfn.XLOOKUP(M20,[1]Master_Customer_Profile!$A$2:$A$11,[1]Master_Customer_Profile!$D$2:$D$11)</f>
        <v>Jawa Barat</v>
      </c>
      <c r="Y20" s="1" t="str">
        <f>_xlfn.XLOOKUP(M20,[1]Master_Customer_Profile!$A$2:$A$11,[1]Master_Customer_Profile!$G$2:$G$11)</f>
        <v>VIP</v>
      </c>
      <c r="Z20" s="1" t="str">
        <f>_xlfn.XLOOKUP(G20,[3]Master_SLA_Shipping!$A$2:$A$7,[3]Master_SLA_Shipping!$B$2:$B$7)</f>
        <v>J&amp;T Express</v>
      </c>
      <c r="AA20" s="1" t="str">
        <f>_xlfn.XLOOKUP(G20,[3]Master_SLA_Shipping!$A$2:$A$7,[3]Master_SLA_Shipping!$C$2:$C$7)</f>
        <v>Regular</v>
      </c>
      <c r="AB20" s="1">
        <f>_xlfn.XLOOKUP(G20,[3]Master_SLA_Shipping!$A$2:$A$7,[3]Master_SLA_Shipping!$D$2:$D$7)</f>
        <v>4</v>
      </c>
      <c r="AC20" s="7">
        <f>_xlfn.XLOOKUP(G20,[3]Master_SLA_Shipping!$A$2:$A$7,[3]Master_SLA_Shipping!$E$2:$E$7)</f>
        <v>10000</v>
      </c>
      <c r="AD20" s="1" t="e">
        <v>#N/A</v>
      </c>
    </row>
    <row r="21" spans="1:30" x14ac:dyDescent="0.25">
      <c r="A21" s="1" t="s">
        <v>81</v>
      </c>
      <c r="B21" s="2">
        <v>45331</v>
      </c>
      <c r="C21" s="1" t="s">
        <v>82</v>
      </c>
      <c r="D21" s="1" t="s">
        <v>50</v>
      </c>
      <c r="E21" s="1">
        <v>4</v>
      </c>
      <c r="F21" s="1" t="s">
        <v>23</v>
      </c>
      <c r="G21" s="1" t="s">
        <v>67</v>
      </c>
      <c r="H21" s="2">
        <v>45333</v>
      </c>
      <c r="I21" s="2">
        <v>45335</v>
      </c>
      <c r="J21" s="1" t="s">
        <v>31</v>
      </c>
      <c r="K21" s="1" t="s">
        <v>48</v>
      </c>
      <c r="L21" s="1" t="s">
        <v>43</v>
      </c>
      <c r="M21" s="1" t="str">
        <f t="shared" si="0"/>
        <v>CUST-010</v>
      </c>
      <c r="N21" s="1" t="str">
        <f>TRIM(PROPER(VLOOKUP(M21,[1]Master_Customer_Profile!$A$2:$B$11,2,0)))</f>
        <v>Valentina Rosi</v>
      </c>
      <c r="O21" s="4" t="str">
        <f>SUBSTITUTE(SUBSTITUTE(SUBSTITUTE(TRIM(VLOOKUP(M21,[1]Master_Customer_Profile!$A$2:$C$11,3,0)),"+",""),"62","")," ","")</f>
        <v>81377665544</v>
      </c>
      <c r="P21" s="1" t="str">
        <f t="shared" si="1"/>
        <v>PRD-HOME-001</v>
      </c>
      <c r="Q21" s="1" t="str">
        <f t="shared" si="2"/>
        <v>SISEPAT-GOKIL-TRX-2024-0020-PRD-HOME-001</v>
      </c>
      <c r="R21" s="1" t="str">
        <f>_xlfn.XLOOKUP(P21,[2]Master_Product_Catalog!$A$2:$A$16,[2]Master_Product_Catalog!$B$2:$B$16,"",3,1)</f>
        <v>Automatic Coffee Espresso Machine</v>
      </c>
      <c r="S21" s="1" t="str">
        <f>_xlfn.XLOOKUP(P21,[2]Master_Product_Catalog!$A$2:$A$16,[2]Master_Product_Catalog!$C$2:$C$16,"Nothing")</f>
        <v>Home &amp; Living</v>
      </c>
      <c r="T21" s="1" t="str">
        <f>_xlfn.XLOOKUP(P21,[2]Master_Product_Catalog!$A$2:$A$16,[2]Master_Product_Catalog!$D$2:$D$16,"Nothing")</f>
        <v>Kitchen Appliances</v>
      </c>
      <c r="U21" s="5">
        <f>_xlfn.XLOOKUP(P21,[2]Master_Product_Catalog!$A$2:$A$16,[2]Master_Product_Catalog!$E$2:$E$16,"Nothing")</f>
        <v>2400000</v>
      </c>
      <c r="V21" s="6">
        <f>_xlfn.XLOOKUP(P21,[2]Master_Product_Catalog!$A$2:$A$16,[2]Master_Product_Catalog!$F$2:$F$16,"Nothing")</f>
        <v>1650000</v>
      </c>
      <c r="W21" s="1" t="str">
        <f>_xlfn.XLOOKUP(P21,[2]Master_Product_Catalog!$A$2:$A$16,[2]Master_Product_Catalog!$G$2:$G$16,"Nothing")</f>
        <v>4.5</v>
      </c>
      <c r="X21" s="1" t="str">
        <f>_xlfn.XLOOKUP(M21,[1]Master_Customer_Profile!$A$2:$A$11,[1]Master_Customer_Profile!$D$2:$D$11)</f>
        <v>Bali</v>
      </c>
      <c r="Y21" s="1" t="str">
        <f>_xlfn.XLOOKUP(M21,[1]Master_Customer_Profile!$A$2:$A$11,[1]Master_Customer_Profile!$G$2:$G$11)</f>
        <v>VIP</v>
      </c>
      <c r="Z21" s="1" t="str">
        <f>_xlfn.XLOOKUP(G21,[3]Master_SLA_Shipping!$A$2:$A$7,[3]Master_SLA_Shipping!$B$2:$B$7)</f>
        <v>SiCepat</v>
      </c>
      <c r="AA21" s="1" t="str">
        <f>_xlfn.XLOOKUP(G21,[3]Master_SLA_Shipping!$A$2:$A$7,[3]Master_SLA_Shipping!$C$2:$C$7)</f>
        <v>Cargo</v>
      </c>
      <c r="AB21" s="1">
        <f>_xlfn.XLOOKUP(G21,[3]Master_SLA_Shipping!$A$2:$A$7,[3]Master_SLA_Shipping!$D$2:$D$7)</f>
        <v>5</v>
      </c>
      <c r="AC21" s="7">
        <f>_xlfn.XLOOKUP(G21,[3]Master_SLA_Shipping!$A$2:$A$7,[3]Master_SLA_Shipping!$E$2:$E$7)</f>
        <v>8000</v>
      </c>
      <c r="AD21" s="1" t="e">
        <v>#N/A</v>
      </c>
    </row>
    <row r="22" spans="1:30" x14ac:dyDescent="0.25">
      <c r="A22" s="1" t="s">
        <v>83</v>
      </c>
      <c r="B22" s="2">
        <v>45334</v>
      </c>
      <c r="C22" s="1" t="s">
        <v>84</v>
      </c>
      <c r="D22" s="1" t="s">
        <v>85</v>
      </c>
      <c r="E22" s="1">
        <v>1</v>
      </c>
      <c r="F22" s="1" t="s">
        <v>23</v>
      </c>
      <c r="G22" s="1" t="s">
        <v>54</v>
      </c>
      <c r="H22" s="2">
        <v>45335</v>
      </c>
      <c r="I22" s="2">
        <v>45337</v>
      </c>
      <c r="J22" s="1" t="s">
        <v>25</v>
      </c>
      <c r="K22" s="1" t="s">
        <v>18</v>
      </c>
      <c r="L22" s="1" t="s">
        <v>39</v>
      </c>
      <c r="M22" s="1" t="str">
        <f t="shared" si="0"/>
        <v>CUST-007</v>
      </c>
      <c r="N22" s="1" t="str">
        <f>TRIM(PROPER(VLOOKUP(M22,[1]Master_Customer_Profile!$A$2:$B$11,2,0)))</f>
        <v>Eko Prasetyo</v>
      </c>
      <c r="O22" s="4" t="str">
        <f>SUBSTITUTE(SUBSTITUTE(SUBSTITUTE(TRIM(VLOOKUP(M22,[1]Master_Customer_Profile!$A$2:$C$11,3,0)),"+",""),"62","")," ","")</f>
        <v>8170099887</v>
      </c>
      <c r="P22" s="1" t="str">
        <f t="shared" si="1"/>
        <v>PRD-FASH-002</v>
      </c>
      <c r="Q22" s="1" t="str">
        <f t="shared" si="2"/>
        <v>JNT-EXP-TRX-2024-0021-PRD-FASH-002</v>
      </c>
      <c r="R22" s="1" t="str">
        <f>_xlfn.XLOOKUP(P22,[2]Master_Product_Catalog!$A$2:$A$16,[2]Master_Product_Catalog!$B$2:$B$16,"",3,1)</f>
        <v>Women Floral Summer Dress</v>
      </c>
      <c r="S22" s="1" t="str">
        <f>_xlfn.XLOOKUP(P22,[2]Master_Product_Catalog!$A$2:$A$16,[2]Master_Product_Catalog!$C$2:$C$16,"Nothing")</f>
        <v>Fashion</v>
      </c>
      <c r="T22" s="1" t="str">
        <f>_xlfn.XLOOKUP(P22,[2]Master_Product_Catalog!$A$2:$A$16,[2]Master_Product_Catalog!$D$2:$D$16,"Nothing")</f>
        <v>Dresses</v>
      </c>
      <c r="U22" s="5">
        <f>_xlfn.XLOOKUP(P22,[2]Master_Product_Catalog!$A$2:$A$16,[2]Master_Product_Catalog!$E$2:$E$16,"Nothing")</f>
        <v>320000</v>
      </c>
      <c r="V22" s="6">
        <f>_xlfn.XLOOKUP(P22,[2]Master_Product_Catalog!$A$2:$A$16,[2]Master_Product_Catalog!$F$2:$F$16,"Nothing")</f>
        <v>180000</v>
      </c>
      <c r="W22" s="1" t="str">
        <f>_xlfn.XLOOKUP(P22,[2]Master_Product_Catalog!$A$2:$A$16,[2]Master_Product_Catalog!$G$2:$G$16,"Nothing")</f>
        <v>0.35</v>
      </c>
      <c r="X22" s="1" t="str">
        <f>_xlfn.XLOOKUP(M22,[1]Master_Customer_Profile!$A$2:$A$11,[1]Master_Customer_Profile!$D$2:$D$11)</f>
        <v>DI Yogyakarta</v>
      </c>
      <c r="Y22" s="1" t="str">
        <f>_xlfn.XLOOKUP(M22,[1]Master_Customer_Profile!$A$2:$A$11,[1]Master_Customer_Profile!$G$2:$G$11)</f>
        <v>Platinum</v>
      </c>
      <c r="Z22" s="1" t="str">
        <f>_xlfn.XLOOKUP(G22,[3]Master_SLA_Shipping!$A$2:$A$7,[3]Master_SLA_Shipping!$B$2:$B$7)</f>
        <v>J&amp;T Express</v>
      </c>
      <c r="AA22" s="1" t="str">
        <f>_xlfn.XLOOKUP(G22,[3]Master_SLA_Shipping!$A$2:$A$7,[3]Master_SLA_Shipping!$C$2:$C$7)</f>
        <v>Express</v>
      </c>
      <c r="AB22" s="1">
        <f>_xlfn.XLOOKUP(G22,[3]Master_SLA_Shipping!$A$2:$A$7,[3]Master_SLA_Shipping!$D$2:$D$7)</f>
        <v>2</v>
      </c>
      <c r="AC22" s="7">
        <f>_xlfn.XLOOKUP(G22,[3]Master_SLA_Shipping!$A$2:$A$7,[3]Master_SLA_Shipping!$E$2:$E$7)</f>
        <v>15000</v>
      </c>
      <c r="AD22" s="1" t="e">
        <v>#N/A</v>
      </c>
    </row>
    <row r="23" spans="1:30" x14ac:dyDescent="0.25">
      <c r="A23" s="1" t="s">
        <v>86</v>
      </c>
      <c r="B23" s="2">
        <v>45335</v>
      </c>
      <c r="C23" s="1" t="s">
        <v>45</v>
      </c>
      <c r="D23" s="1" t="s">
        <v>87</v>
      </c>
      <c r="E23" s="1">
        <v>4</v>
      </c>
      <c r="F23" s="1" t="s">
        <v>15</v>
      </c>
      <c r="G23" s="1" t="s">
        <v>37</v>
      </c>
      <c r="H23" s="2">
        <v>45338</v>
      </c>
      <c r="I23" s="2">
        <v>45339</v>
      </c>
      <c r="J23" s="1" t="s">
        <v>38</v>
      </c>
      <c r="K23" s="1" t="s">
        <v>62</v>
      </c>
      <c r="L23" s="1" t="s">
        <v>27</v>
      </c>
      <c r="M23" s="1" t="str">
        <f t="shared" si="0"/>
        <v>CUST-004</v>
      </c>
      <c r="N23" s="1" t="str">
        <f>TRIM(PROPER(VLOOKUP(M23,[1]Master_Customer_Profile!$A$2:$B$11,2,0)))</f>
        <v>Dewi Lestari</v>
      </c>
      <c r="O23" s="4" t="str">
        <f>SUBSTITUTE(SUBSTITUTE(SUBSTITUTE(TRIM(VLOOKUP(M23,[1]Master_Customer_Profile!$A$2:$C$11,3,0)),"+",""),"62","")," ","")</f>
        <v>87855443322</v>
      </c>
      <c r="P23" s="1" t="str">
        <f t="shared" si="1"/>
        <v>PRD-FASH-004</v>
      </c>
      <c r="Q23" s="1" t="str">
        <f t="shared" si="2"/>
        <v>JNE-REG-TRX-2024-0022-PRD-FASH-004</v>
      </c>
      <c r="R23" s="1" t="str">
        <f>_xlfn.XLOOKUP(P23,[2]Master_Product_Catalog!$A$2:$A$16,[2]Master_Product_Catalog!$B$2:$B$16,"",3,1)</f>
        <v>Leather Minimalist Wallet</v>
      </c>
      <c r="S23" s="1" t="str">
        <f>_xlfn.XLOOKUP(P23,[2]Master_Product_Catalog!$A$2:$A$16,[2]Master_Product_Catalog!$C$2:$C$16,"Nothing")</f>
        <v>Fashion</v>
      </c>
      <c r="T23" s="1" t="str">
        <f>_xlfn.XLOOKUP(P23,[2]Master_Product_Catalog!$A$2:$A$16,[2]Master_Product_Catalog!$D$2:$D$16,"Nothing")</f>
        <v>Accessories</v>
      </c>
      <c r="U23" s="5">
        <f>_xlfn.XLOOKUP(P23,[2]Master_Product_Catalog!$A$2:$A$16,[2]Master_Product_Catalog!$E$2:$E$16,"Nothing")</f>
        <v>220000</v>
      </c>
      <c r="V23" s="6">
        <f>_xlfn.XLOOKUP(P23,[2]Master_Product_Catalog!$A$2:$A$16,[2]Master_Product_Catalog!$F$2:$F$16,"Nothing")</f>
        <v>110000</v>
      </c>
      <c r="W23" s="1" t="str">
        <f>_xlfn.XLOOKUP(P23,[2]Master_Product_Catalog!$A$2:$A$16,[2]Master_Product_Catalog!$G$2:$G$16,"Nothing")</f>
        <v>0.15</v>
      </c>
      <c r="X23" s="1" t="str">
        <f>_xlfn.XLOOKUP(M23,[1]Master_Customer_Profile!$A$2:$A$11,[1]Master_Customer_Profile!$D$2:$D$11)</f>
        <v>Jawa Timur</v>
      </c>
      <c r="Y23" s="1" t="str">
        <f>_xlfn.XLOOKUP(M23,[1]Master_Customer_Profile!$A$2:$A$11,[1]Master_Customer_Profile!$G$2:$G$11)</f>
        <v>Silver</v>
      </c>
      <c r="Z23" s="1" t="str">
        <f>_xlfn.XLOOKUP(G23,[3]Master_SLA_Shipping!$A$2:$A$7,[3]Master_SLA_Shipping!$B$2:$B$7)</f>
        <v>JNE</v>
      </c>
      <c r="AA23" s="1" t="str">
        <f>_xlfn.XLOOKUP(G23,[3]Master_SLA_Shipping!$A$2:$A$7,[3]Master_SLA_Shipping!$C$2:$C$7)</f>
        <v>Regular</v>
      </c>
      <c r="AB23" s="1">
        <f>_xlfn.XLOOKUP(G23,[3]Master_SLA_Shipping!$A$2:$A$7,[3]Master_SLA_Shipping!$D$2:$D$7)</f>
        <v>3</v>
      </c>
      <c r="AC23" s="7">
        <f>_xlfn.XLOOKUP(G23,[3]Master_SLA_Shipping!$A$2:$A$7,[3]Master_SLA_Shipping!$E$2:$E$7)</f>
        <v>12000</v>
      </c>
      <c r="AD23" s="1" t="e">
        <v>#N/A</v>
      </c>
    </row>
    <row r="24" spans="1:30" x14ac:dyDescent="0.25">
      <c r="A24" s="1" t="s">
        <v>88</v>
      </c>
      <c r="B24" s="2">
        <v>45338</v>
      </c>
      <c r="C24" s="1" t="s">
        <v>21</v>
      </c>
      <c r="D24" s="1" t="s">
        <v>65</v>
      </c>
      <c r="E24" s="1">
        <v>1</v>
      </c>
      <c r="F24" s="1" t="s">
        <v>23</v>
      </c>
      <c r="G24" s="1" t="s">
        <v>37</v>
      </c>
      <c r="H24" s="2">
        <v>45339</v>
      </c>
      <c r="I24" s="2">
        <v>45345</v>
      </c>
      <c r="J24" s="1" t="s">
        <v>17</v>
      </c>
      <c r="K24" s="1" t="s">
        <v>48</v>
      </c>
      <c r="L24" s="1" t="s">
        <v>39</v>
      </c>
      <c r="M24" s="1" t="str">
        <f t="shared" si="0"/>
        <v>CUST-001</v>
      </c>
      <c r="N24" s="1" t="str">
        <f>TRIM(PROPER(VLOOKUP(M24,[1]Master_Customer_Profile!$A$2:$B$11,2,0)))</f>
        <v>Ahmad Fauzi</v>
      </c>
      <c r="O24" s="4" t="str">
        <f>SUBSTITUTE(SUBSTITUTE(SUBSTITUTE(TRIM(VLOOKUP(M24,[1]Master_Customer_Profile!$A$2:$C$11,3,0)),"+",""),"62","")," ","")</f>
        <v>81234567890</v>
      </c>
      <c r="P24" s="1" t="str">
        <f t="shared" si="1"/>
        <v>PRD-HOME-002</v>
      </c>
      <c r="Q24" s="1" t="str">
        <f t="shared" si="2"/>
        <v>JNE-REG-TRX-2024-0023-PRD-HOME-002</v>
      </c>
      <c r="R24" s="1" t="str">
        <f>_xlfn.XLOOKUP(P24,[2]Master_Product_Catalog!$A$2:$A$16,[2]Master_Product_Catalog!$B$2:$B$16,"",3,1)</f>
        <v>Air Purifier HEPA Filter H13</v>
      </c>
      <c r="S24" s="1" t="str">
        <f>_xlfn.XLOOKUP(P24,[2]Master_Product_Catalog!$A$2:$A$16,[2]Master_Product_Catalog!$C$2:$C$16,"Nothing")</f>
        <v>Home &amp; Living</v>
      </c>
      <c r="T24" s="1" t="str">
        <f>_xlfn.XLOOKUP(P24,[2]Master_Product_Catalog!$A$2:$A$16,[2]Master_Product_Catalog!$D$2:$D$16,"Nothing")</f>
        <v>Home Appliances</v>
      </c>
      <c r="U24" s="5">
        <f>_xlfn.XLOOKUP(P24,[2]Master_Product_Catalog!$A$2:$A$16,[2]Master_Product_Catalog!$E$2:$E$16,"Nothing")</f>
        <v>1750000</v>
      </c>
      <c r="V24" s="6">
        <f>_xlfn.XLOOKUP(P24,[2]Master_Product_Catalog!$A$2:$A$16,[2]Master_Product_Catalog!$F$2:$F$16,"Nothing")</f>
        <v>1150000</v>
      </c>
      <c r="W24" s="1" t="str">
        <f>_xlfn.XLOOKUP(P24,[2]Master_Product_Catalog!$A$2:$A$16,[2]Master_Product_Catalog!$G$2:$G$16,"Nothing")</f>
        <v>3.2</v>
      </c>
      <c r="X24" s="1" t="str">
        <f>_xlfn.XLOOKUP(M24,[1]Master_Customer_Profile!$A$2:$A$11,[1]Master_Customer_Profile!$D$2:$D$11)</f>
        <v>Jawa Barat</v>
      </c>
      <c r="Y24" s="1" t="str">
        <f>_xlfn.XLOOKUP(M24,[1]Master_Customer_Profile!$A$2:$A$11,[1]Master_Customer_Profile!$G$2:$G$11)</f>
        <v>VIP</v>
      </c>
      <c r="Z24" s="1" t="str">
        <f>_xlfn.XLOOKUP(G24,[3]Master_SLA_Shipping!$A$2:$A$7,[3]Master_SLA_Shipping!$B$2:$B$7)</f>
        <v>JNE</v>
      </c>
      <c r="AA24" s="1" t="str">
        <f>_xlfn.XLOOKUP(G24,[3]Master_SLA_Shipping!$A$2:$A$7,[3]Master_SLA_Shipping!$C$2:$C$7)</f>
        <v>Regular</v>
      </c>
      <c r="AB24" s="1">
        <f>_xlfn.XLOOKUP(G24,[3]Master_SLA_Shipping!$A$2:$A$7,[3]Master_SLA_Shipping!$D$2:$D$7)</f>
        <v>3</v>
      </c>
      <c r="AC24" s="7">
        <f>_xlfn.XLOOKUP(G24,[3]Master_SLA_Shipping!$A$2:$A$7,[3]Master_SLA_Shipping!$E$2:$E$7)</f>
        <v>12000</v>
      </c>
      <c r="AD24" s="1" t="e">
        <v>#N/A</v>
      </c>
    </row>
    <row r="25" spans="1:30" x14ac:dyDescent="0.25">
      <c r="A25" s="1" t="s">
        <v>89</v>
      </c>
      <c r="B25" s="2">
        <v>45340</v>
      </c>
      <c r="C25" s="1" t="s">
        <v>90</v>
      </c>
      <c r="D25" s="1" t="s">
        <v>91</v>
      </c>
      <c r="E25" s="1">
        <v>4</v>
      </c>
      <c r="F25" s="1" t="s">
        <v>73</v>
      </c>
      <c r="G25" s="1" t="s">
        <v>37</v>
      </c>
      <c r="H25" s="2">
        <v>45343</v>
      </c>
      <c r="I25" s="2">
        <v>45348</v>
      </c>
      <c r="J25" s="1" t="s">
        <v>31</v>
      </c>
      <c r="K25" s="1" t="s">
        <v>32</v>
      </c>
      <c r="L25" s="1" t="s">
        <v>39</v>
      </c>
      <c r="M25" s="1" t="str">
        <f t="shared" si="0"/>
        <v>CUST-007</v>
      </c>
      <c r="N25" s="1" t="str">
        <f>TRIM(PROPER(VLOOKUP(M25,[1]Master_Customer_Profile!$A$2:$B$11,2,0)))</f>
        <v>Eko Prasetyo</v>
      </c>
      <c r="O25" s="4" t="str">
        <f>SUBSTITUTE(SUBSTITUTE(SUBSTITUTE(TRIM(VLOOKUP(M25,[1]Master_Customer_Profile!$A$2:$C$11,3,0)),"+",""),"62","")," ","")</f>
        <v>8170099887</v>
      </c>
      <c r="P25" s="1" t="str">
        <f t="shared" si="1"/>
        <v>PRD-BEAU-003</v>
      </c>
      <c r="Q25" s="1" t="str">
        <f t="shared" si="2"/>
        <v>JNE-REG-TRX-2024-0024-PRD-BEAU-003</v>
      </c>
      <c r="R25" s="1" t="str">
        <f>_xlfn.XLOOKUP(P25,[2]Master_Product_Catalog!$A$2:$A$16,[2]Master_Product_Catalog!$B$2:$B$16,"",3,1)</f>
        <v>Sonic Electric Toothbrush Pro</v>
      </c>
      <c r="S25" s="1" t="str">
        <f>_xlfn.XLOOKUP(P25,[2]Master_Product_Catalog!$A$2:$A$16,[2]Master_Product_Catalog!$C$2:$C$16,"Nothing")</f>
        <v>Beauty &amp; Health</v>
      </c>
      <c r="T25" s="1" t="str">
        <f>_xlfn.XLOOKUP(P25,[2]Master_Product_Catalog!$A$2:$A$16,[2]Master_Product_Catalog!$D$2:$D$16,"Nothing")</f>
        <v>Personal Care</v>
      </c>
      <c r="U25" s="5">
        <f>_xlfn.XLOOKUP(P25,[2]Master_Product_Catalog!$A$2:$A$16,[2]Master_Product_Catalog!$E$2:$E$16,"Nothing")</f>
        <v>490000</v>
      </c>
      <c r="V25" s="6">
        <f>_xlfn.XLOOKUP(P25,[2]Master_Product_Catalog!$A$2:$A$16,[2]Master_Product_Catalog!$F$2:$F$16,"Nothing")</f>
        <v>290000</v>
      </c>
      <c r="W25" s="1" t="str">
        <f>_xlfn.XLOOKUP(P25,[2]Master_Product_Catalog!$A$2:$A$16,[2]Master_Product_Catalog!$G$2:$G$16,"Nothing")</f>
        <v>0.4</v>
      </c>
      <c r="X25" s="1" t="str">
        <f>_xlfn.XLOOKUP(M25,[1]Master_Customer_Profile!$A$2:$A$11,[1]Master_Customer_Profile!$D$2:$D$11)</f>
        <v>DI Yogyakarta</v>
      </c>
      <c r="Y25" s="1" t="str">
        <f>_xlfn.XLOOKUP(M25,[1]Master_Customer_Profile!$A$2:$A$11,[1]Master_Customer_Profile!$G$2:$G$11)</f>
        <v>Platinum</v>
      </c>
      <c r="Z25" s="1" t="str">
        <f>_xlfn.XLOOKUP(G25,[3]Master_SLA_Shipping!$A$2:$A$7,[3]Master_SLA_Shipping!$B$2:$B$7)</f>
        <v>JNE</v>
      </c>
      <c r="AA25" s="1" t="str">
        <f>_xlfn.XLOOKUP(G25,[3]Master_SLA_Shipping!$A$2:$A$7,[3]Master_SLA_Shipping!$C$2:$C$7)</f>
        <v>Regular</v>
      </c>
      <c r="AB25" s="1">
        <f>_xlfn.XLOOKUP(G25,[3]Master_SLA_Shipping!$A$2:$A$7,[3]Master_SLA_Shipping!$D$2:$D$7)</f>
        <v>3</v>
      </c>
      <c r="AC25" s="7">
        <f>_xlfn.XLOOKUP(G25,[3]Master_SLA_Shipping!$A$2:$A$7,[3]Master_SLA_Shipping!$E$2:$E$7)</f>
        <v>12000</v>
      </c>
      <c r="AD25" s="1" t="e">
        <v>#N/A</v>
      </c>
    </row>
    <row r="26" spans="1:30" x14ac:dyDescent="0.25">
      <c r="A26" s="1" t="s">
        <v>92</v>
      </c>
      <c r="B26" s="2">
        <v>45342</v>
      </c>
      <c r="C26" s="1" t="s">
        <v>93</v>
      </c>
      <c r="D26" s="1" t="s">
        <v>94</v>
      </c>
      <c r="E26" s="1">
        <v>2</v>
      </c>
      <c r="F26" s="1" t="s">
        <v>73</v>
      </c>
      <c r="G26" s="1" t="s">
        <v>54</v>
      </c>
      <c r="H26" s="2">
        <v>45343</v>
      </c>
      <c r="I26" s="2">
        <v>45347</v>
      </c>
      <c r="J26" s="1" t="s">
        <v>70</v>
      </c>
      <c r="K26" s="1" t="s">
        <v>26</v>
      </c>
      <c r="L26" s="1" t="s">
        <v>43</v>
      </c>
      <c r="M26" s="1" t="str">
        <f t="shared" si="0"/>
        <v>CUST-008</v>
      </c>
      <c r="N26" s="1" t="str">
        <f>TRIM(PROPER(VLOOKUP(M26,[1]Master_Customer_Profile!$A$2:$B$11,2,0)))</f>
        <v>Maya Indah Sari</v>
      </c>
      <c r="O26" s="4" t="str">
        <f>SUBSTITUTE(SUBSTITUTE(SUBSTITUTE(TRIM(VLOOKUP(M26,[1]Master_Customer_Profile!$A$2:$C$11,3,0)),"+",""),"62","")," ","")</f>
        <v>85211447788</v>
      </c>
      <c r="P26" s="1" t="str">
        <f t="shared" si="1"/>
        <v>PRD-ELEC-003</v>
      </c>
      <c r="Q26" s="1" t="str">
        <f t="shared" si="2"/>
        <v>JNT-EXP-TRX-2024-0025-PRD-ELEC-003</v>
      </c>
      <c r="R26" s="1" t="str">
        <f>_xlfn.XLOOKUP(P26,[2]Master_Product_Catalog!$A$2:$A$16,[2]Master_Product_Catalog!$B$2:$B$16,"",3,1)</f>
        <v>Mechanical Gaming Keyboard RGB</v>
      </c>
      <c r="S26" s="1" t="str">
        <f>_xlfn.XLOOKUP(P26,[2]Master_Product_Catalog!$A$2:$A$16,[2]Master_Product_Catalog!$C$2:$C$16,"Nothing")</f>
        <v>Electronics</v>
      </c>
      <c r="T26" s="1" t="str">
        <f>_xlfn.XLOOKUP(P26,[2]Master_Product_Catalog!$A$2:$A$16,[2]Master_Product_Catalog!$D$2:$D$16,"Nothing")</f>
        <v>Computer Accessories</v>
      </c>
      <c r="U26" s="5">
        <f>_xlfn.XLOOKUP(P26,[2]Master_Product_Catalog!$A$2:$A$16,[2]Master_Product_Catalog!$E$2:$E$16,"Nothing")</f>
        <v>950000</v>
      </c>
      <c r="V26" s="6">
        <f>_xlfn.XLOOKUP(P26,[2]Master_Product_Catalog!$A$2:$A$16,[2]Master_Product_Catalog!$F$2:$F$16,"Nothing")</f>
        <v>600000</v>
      </c>
      <c r="W26" s="1" t="str">
        <f>_xlfn.XLOOKUP(P26,[2]Master_Product_Catalog!$A$2:$A$16,[2]Master_Product_Catalog!$G$2:$G$16,"Nothing")</f>
        <v>1.2</v>
      </c>
      <c r="X26" s="1" t="str">
        <f>_xlfn.XLOOKUP(M26,[1]Master_Customer_Profile!$A$2:$A$11,[1]Master_Customer_Profile!$D$2:$D$11)</f>
        <v>Sumatera Utara</v>
      </c>
      <c r="Y26" s="1" t="str">
        <f>_xlfn.XLOOKUP(M26,[1]Master_Customer_Profile!$A$2:$A$11,[1]Master_Customer_Profile!$G$2:$G$11)</f>
        <v>Gold</v>
      </c>
      <c r="Z26" s="1" t="str">
        <f>_xlfn.XLOOKUP(G26,[3]Master_SLA_Shipping!$A$2:$A$7,[3]Master_SLA_Shipping!$B$2:$B$7)</f>
        <v>J&amp;T Express</v>
      </c>
      <c r="AA26" s="1" t="str">
        <f>_xlfn.XLOOKUP(G26,[3]Master_SLA_Shipping!$A$2:$A$7,[3]Master_SLA_Shipping!$C$2:$C$7)</f>
        <v>Express</v>
      </c>
      <c r="AB26" s="1">
        <f>_xlfn.XLOOKUP(G26,[3]Master_SLA_Shipping!$A$2:$A$7,[3]Master_SLA_Shipping!$D$2:$D$7)</f>
        <v>2</v>
      </c>
      <c r="AC26" s="7">
        <f>_xlfn.XLOOKUP(G26,[3]Master_SLA_Shipping!$A$2:$A$7,[3]Master_SLA_Shipping!$E$2:$E$7)</f>
        <v>15000</v>
      </c>
      <c r="AD26" s="1" t="e">
        <v>#N/A</v>
      </c>
    </row>
    <row r="27" spans="1:30" x14ac:dyDescent="0.25">
      <c r="A27" s="1" t="s">
        <v>95</v>
      </c>
      <c r="B27" s="2">
        <v>45343</v>
      </c>
      <c r="C27" s="1" t="s">
        <v>93</v>
      </c>
      <c r="D27" s="1" t="s">
        <v>96</v>
      </c>
      <c r="E27" s="1">
        <v>2</v>
      </c>
      <c r="F27" s="1" t="s">
        <v>73</v>
      </c>
      <c r="G27" s="1" t="s">
        <v>16</v>
      </c>
      <c r="H27" s="2">
        <v>45344</v>
      </c>
      <c r="I27" s="2">
        <v>45349</v>
      </c>
      <c r="J27" s="1" t="s">
        <v>70</v>
      </c>
      <c r="K27" s="1" t="s">
        <v>18</v>
      </c>
      <c r="L27" s="1" t="s">
        <v>27</v>
      </c>
      <c r="M27" s="1" t="str">
        <f t="shared" si="0"/>
        <v>CUST-008</v>
      </c>
      <c r="N27" s="1" t="str">
        <f>TRIM(PROPER(VLOOKUP(M27,[1]Master_Customer_Profile!$A$2:$B$11,2,0)))</f>
        <v>Maya Indah Sari</v>
      </c>
      <c r="O27" s="4" t="str">
        <f>SUBSTITUTE(SUBSTITUTE(SUBSTITUTE(TRIM(VLOOKUP(M27,[1]Master_Customer_Profile!$A$2:$C$11,3,0)),"+",""),"62","")," ","")</f>
        <v>85211447788</v>
      </c>
      <c r="P27" s="1" t="str">
        <f t="shared" si="1"/>
        <v>PRD-FASH-004</v>
      </c>
      <c r="Q27" s="1" t="str">
        <f t="shared" si="2"/>
        <v>SISEPAT-BEST-TRX-2024-0026-PRD-FASH-004</v>
      </c>
      <c r="R27" s="1" t="str">
        <f>_xlfn.XLOOKUP(P27,[2]Master_Product_Catalog!$A$2:$A$16,[2]Master_Product_Catalog!$B$2:$B$16,"",3,1)</f>
        <v>Leather Minimalist Wallet</v>
      </c>
      <c r="S27" s="1" t="str">
        <f>_xlfn.XLOOKUP(P27,[2]Master_Product_Catalog!$A$2:$A$16,[2]Master_Product_Catalog!$C$2:$C$16,"Nothing")</f>
        <v>Fashion</v>
      </c>
      <c r="T27" s="1" t="str">
        <f>_xlfn.XLOOKUP(P27,[2]Master_Product_Catalog!$A$2:$A$16,[2]Master_Product_Catalog!$D$2:$D$16,"Nothing")</f>
        <v>Accessories</v>
      </c>
      <c r="U27" s="5">
        <f>_xlfn.XLOOKUP(P27,[2]Master_Product_Catalog!$A$2:$A$16,[2]Master_Product_Catalog!$E$2:$E$16,"Nothing")</f>
        <v>220000</v>
      </c>
      <c r="V27" s="6">
        <f>_xlfn.XLOOKUP(P27,[2]Master_Product_Catalog!$A$2:$A$16,[2]Master_Product_Catalog!$F$2:$F$16,"Nothing")</f>
        <v>110000</v>
      </c>
      <c r="W27" s="1" t="str">
        <f>_xlfn.XLOOKUP(P27,[2]Master_Product_Catalog!$A$2:$A$16,[2]Master_Product_Catalog!$G$2:$G$16,"Nothing")</f>
        <v>0.15</v>
      </c>
      <c r="X27" s="1" t="str">
        <f>_xlfn.XLOOKUP(M27,[1]Master_Customer_Profile!$A$2:$A$11,[1]Master_Customer_Profile!$D$2:$D$11)</f>
        <v>Sumatera Utara</v>
      </c>
      <c r="Y27" s="1" t="str">
        <f>_xlfn.XLOOKUP(M27,[1]Master_Customer_Profile!$A$2:$A$11,[1]Master_Customer_Profile!$G$2:$G$11)</f>
        <v>Gold</v>
      </c>
      <c r="Z27" s="1" t="str">
        <f>_xlfn.XLOOKUP(G27,[3]Master_SLA_Shipping!$A$2:$A$7,[3]Master_SLA_Shipping!$B$2:$B$7)</f>
        <v>SiCepat</v>
      </c>
      <c r="AA27" s="1" t="str">
        <f>_xlfn.XLOOKUP(G27,[3]Master_SLA_Shipping!$A$2:$A$7,[3]Master_SLA_Shipping!$C$2:$C$7)</f>
        <v>Express</v>
      </c>
      <c r="AB27" s="1">
        <f>_xlfn.XLOOKUP(G27,[3]Master_SLA_Shipping!$A$2:$A$7,[3]Master_SLA_Shipping!$D$2:$D$7)</f>
        <v>2</v>
      </c>
      <c r="AC27" s="7">
        <f>_xlfn.XLOOKUP(G27,[3]Master_SLA_Shipping!$A$2:$A$7,[3]Master_SLA_Shipping!$E$2:$E$7)</f>
        <v>16000</v>
      </c>
      <c r="AD27" s="1" t="e">
        <v>#N/A</v>
      </c>
    </row>
    <row r="28" spans="1:30" x14ac:dyDescent="0.25">
      <c r="A28" s="1" t="s">
        <v>97</v>
      </c>
      <c r="B28" s="2">
        <v>45345</v>
      </c>
      <c r="C28" s="1" t="s">
        <v>45</v>
      </c>
      <c r="D28" s="1" t="s">
        <v>36</v>
      </c>
      <c r="E28" s="1">
        <v>2</v>
      </c>
      <c r="F28" s="1" t="s">
        <v>23</v>
      </c>
      <c r="G28" s="1" t="s">
        <v>37</v>
      </c>
      <c r="H28" s="2">
        <v>45348</v>
      </c>
      <c r="I28" s="2">
        <v>45352</v>
      </c>
      <c r="J28" s="1" t="s">
        <v>70</v>
      </c>
      <c r="K28" s="1" t="s">
        <v>18</v>
      </c>
      <c r="L28" s="1" t="s">
        <v>19</v>
      </c>
      <c r="M28" s="1" t="str">
        <f t="shared" si="0"/>
        <v>CUST-004</v>
      </c>
      <c r="N28" s="1" t="str">
        <f>TRIM(PROPER(VLOOKUP(M28,[1]Master_Customer_Profile!$A$2:$B$11,2,0)))</f>
        <v>Dewi Lestari</v>
      </c>
      <c r="O28" s="4" t="str">
        <f>SUBSTITUTE(SUBSTITUTE(SUBSTITUTE(TRIM(VLOOKUP(M28,[1]Master_Customer_Profile!$A$2:$C$11,3,0)),"+",""),"62","")," ","")</f>
        <v>87855443322</v>
      </c>
      <c r="P28" s="1" t="str">
        <f t="shared" si="1"/>
        <v>PRD-FASH-002</v>
      </c>
      <c r="Q28" s="1" t="str">
        <f t="shared" si="2"/>
        <v>JNE-REG-TRX-2024-0027-PRD-FASH-002</v>
      </c>
      <c r="R28" s="1" t="str">
        <f>_xlfn.XLOOKUP(P28,[2]Master_Product_Catalog!$A$2:$A$16,[2]Master_Product_Catalog!$B$2:$B$16,"",3,1)</f>
        <v>Women Floral Summer Dress</v>
      </c>
      <c r="S28" s="1" t="str">
        <f>_xlfn.XLOOKUP(P28,[2]Master_Product_Catalog!$A$2:$A$16,[2]Master_Product_Catalog!$C$2:$C$16,"Nothing")</f>
        <v>Fashion</v>
      </c>
      <c r="T28" s="1" t="str">
        <f>_xlfn.XLOOKUP(P28,[2]Master_Product_Catalog!$A$2:$A$16,[2]Master_Product_Catalog!$D$2:$D$16,"Nothing")</f>
        <v>Dresses</v>
      </c>
      <c r="U28" s="5">
        <f>_xlfn.XLOOKUP(P28,[2]Master_Product_Catalog!$A$2:$A$16,[2]Master_Product_Catalog!$E$2:$E$16,"Nothing")</f>
        <v>320000</v>
      </c>
      <c r="V28" s="6">
        <f>_xlfn.XLOOKUP(P28,[2]Master_Product_Catalog!$A$2:$A$16,[2]Master_Product_Catalog!$F$2:$F$16,"Nothing")</f>
        <v>180000</v>
      </c>
      <c r="W28" s="1" t="str">
        <f>_xlfn.XLOOKUP(P28,[2]Master_Product_Catalog!$A$2:$A$16,[2]Master_Product_Catalog!$G$2:$G$16,"Nothing")</f>
        <v>0.35</v>
      </c>
      <c r="X28" s="1" t="str">
        <f>_xlfn.XLOOKUP(M28,[1]Master_Customer_Profile!$A$2:$A$11,[1]Master_Customer_Profile!$D$2:$D$11)</f>
        <v>Jawa Timur</v>
      </c>
      <c r="Y28" s="1" t="str">
        <f>_xlfn.XLOOKUP(M28,[1]Master_Customer_Profile!$A$2:$A$11,[1]Master_Customer_Profile!$G$2:$G$11)</f>
        <v>Silver</v>
      </c>
      <c r="Z28" s="1" t="str">
        <f>_xlfn.XLOOKUP(G28,[3]Master_SLA_Shipping!$A$2:$A$7,[3]Master_SLA_Shipping!$B$2:$B$7)</f>
        <v>JNE</v>
      </c>
      <c r="AA28" s="1" t="str">
        <f>_xlfn.XLOOKUP(G28,[3]Master_SLA_Shipping!$A$2:$A$7,[3]Master_SLA_Shipping!$C$2:$C$7)</f>
        <v>Regular</v>
      </c>
      <c r="AB28" s="1">
        <f>_xlfn.XLOOKUP(G28,[3]Master_SLA_Shipping!$A$2:$A$7,[3]Master_SLA_Shipping!$D$2:$D$7)</f>
        <v>3</v>
      </c>
      <c r="AC28" s="7">
        <f>_xlfn.XLOOKUP(G28,[3]Master_SLA_Shipping!$A$2:$A$7,[3]Master_SLA_Shipping!$E$2:$E$7)</f>
        <v>12000</v>
      </c>
      <c r="AD28" s="1" t="e">
        <v>#N/A</v>
      </c>
    </row>
    <row r="29" spans="1:30" x14ac:dyDescent="0.25">
      <c r="A29" s="1" t="s">
        <v>98</v>
      </c>
      <c r="B29" s="2">
        <v>45348</v>
      </c>
      <c r="C29" s="1" t="s">
        <v>99</v>
      </c>
      <c r="D29" s="1" t="s">
        <v>100</v>
      </c>
      <c r="E29" s="1">
        <v>3</v>
      </c>
      <c r="F29" s="1" t="s">
        <v>15</v>
      </c>
      <c r="G29" s="1" t="s">
        <v>37</v>
      </c>
      <c r="H29" s="2">
        <v>45349</v>
      </c>
      <c r="I29" s="2">
        <v>45355</v>
      </c>
      <c r="J29" s="1" t="s">
        <v>38</v>
      </c>
      <c r="K29" s="1" t="s">
        <v>62</v>
      </c>
      <c r="L29" s="1" t="s">
        <v>27</v>
      </c>
      <c r="M29" s="1" t="str">
        <f t="shared" si="0"/>
        <v>CUST-009</v>
      </c>
      <c r="N29" s="1" t="str">
        <f>TRIM(PROPER(VLOOKUP(M29,[1]Master_Customer_Profile!$A$2:$B$11,2,0)))</f>
        <v>Rizky Hidayat</v>
      </c>
      <c r="O29" s="4" t="str">
        <f>SUBSTITUTE(SUBSTITUTE(SUBSTITUTE(TRIM(VLOOKUP(M29,[1]Master_Customer_Profile!$A$2:$C$11,3,0)),"+",""),"62","")," ","")</f>
        <v>81933221100</v>
      </c>
      <c r="P29" s="1" t="str">
        <f t="shared" si="1"/>
        <v>PRD-FASH-001</v>
      </c>
      <c r="Q29" s="1" t="str">
        <f t="shared" si="2"/>
        <v>JNE-REG-TRX-2024-0028-PRD-FASH-001</v>
      </c>
      <c r="R29" s="1" t="str">
        <f>_xlfn.XLOOKUP(P29,[2]Master_Product_Catalog!$A$2:$A$16,[2]Master_Product_Catalog!$B$2:$B$16,"",3,1)</f>
        <v>Men Denim Jacket Vintage Blue</v>
      </c>
      <c r="S29" s="1" t="str">
        <f>_xlfn.XLOOKUP(P29,[2]Master_Product_Catalog!$A$2:$A$16,[2]Master_Product_Catalog!$C$2:$C$16,"Nothing")</f>
        <v>Fashion</v>
      </c>
      <c r="T29" s="1" t="str">
        <f>_xlfn.XLOOKUP(P29,[2]Master_Product_Catalog!$A$2:$A$16,[2]Master_Product_Catalog!$D$2:$D$16,"Nothing")</f>
        <v>Outerwear</v>
      </c>
      <c r="U29" s="5">
        <f>_xlfn.XLOOKUP(P29,[2]Master_Product_Catalog!$A$2:$A$16,[2]Master_Product_Catalog!$E$2:$E$16,"Nothing")</f>
        <v>450000</v>
      </c>
      <c r="V29" s="6">
        <f>_xlfn.XLOOKUP(P29,[2]Master_Product_Catalog!$A$2:$A$16,[2]Master_Product_Catalog!$F$2:$F$16,"Nothing")</f>
        <v>260000</v>
      </c>
      <c r="W29" s="1" t="str">
        <f>_xlfn.XLOOKUP(P29,[2]Master_Product_Catalog!$A$2:$A$16,[2]Master_Product_Catalog!$G$2:$G$16,"Nothing")</f>
        <v>0.9</v>
      </c>
      <c r="X29" s="1" t="str">
        <f>_xlfn.XLOOKUP(M29,[1]Master_Customer_Profile!$A$2:$A$11,[1]Master_Customer_Profile!$D$2:$D$11)</f>
        <v>Sulawesi Selatan</v>
      </c>
      <c r="Y29" s="1" t="str">
        <f>_xlfn.XLOOKUP(M29,[1]Master_Customer_Profile!$A$2:$A$11,[1]Master_Customer_Profile!$G$2:$G$11)</f>
        <v>Silver</v>
      </c>
      <c r="Z29" s="1" t="str">
        <f>_xlfn.XLOOKUP(G29,[3]Master_SLA_Shipping!$A$2:$A$7,[3]Master_SLA_Shipping!$B$2:$B$7)</f>
        <v>JNE</v>
      </c>
      <c r="AA29" s="1" t="str">
        <f>_xlfn.XLOOKUP(G29,[3]Master_SLA_Shipping!$A$2:$A$7,[3]Master_SLA_Shipping!$C$2:$C$7)</f>
        <v>Regular</v>
      </c>
      <c r="AB29" s="1">
        <f>_xlfn.XLOOKUP(G29,[3]Master_SLA_Shipping!$A$2:$A$7,[3]Master_SLA_Shipping!$D$2:$D$7)</f>
        <v>3</v>
      </c>
      <c r="AC29" s="7">
        <f>_xlfn.XLOOKUP(G29,[3]Master_SLA_Shipping!$A$2:$A$7,[3]Master_SLA_Shipping!$E$2:$E$7)</f>
        <v>12000</v>
      </c>
      <c r="AD29" s="1" t="e">
        <v>#N/A</v>
      </c>
    </row>
    <row r="30" spans="1:30" x14ac:dyDescent="0.25">
      <c r="A30" s="1" t="s">
        <v>101</v>
      </c>
      <c r="B30" s="2">
        <v>45350</v>
      </c>
      <c r="C30" s="1" t="s">
        <v>13</v>
      </c>
      <c r="D30" s="1" t="s">
        <v>14</v>
      </c>
      <c r="E30" s="1">
        <v>5</v>
      </c>
      <c r="F30" s="1" t="s">
        <v>73</v>
      </c>
      <c r="G30" s="1" t="s">
        <v>24</v>
      </c>
      <c r="H30" s="2">
        <v>45351</v>
      </c>
      <c r="I30" s="2">
        <v>45352</v>
      </c>
      <c r="J30" s="1" t="s">
        <v>25</v>
      </c>
      <c r="K30" s="1" t="s">
        <v>26</v>
      </c>
      <c r="L30" s="1" t="s">
        <v>27</v>
      </c>
      <c r="M30" s="1" t="str">
        <f t="shared" si="0"/>
        <v>CUST-002</v>
      </c>
      <c r="N30" s="1" t="str">
        <f>TRIM(PROPER(VLOOKUP(M30,[1]Master_Customer_Profile!$A$2:$B$11,2,0)))</f>
        <v>Siti Nurhaliza</v>
      </c>
      <c r="O30" s="4" t="str">
        <f>SUBSTITUTE(SUBSTITUTE(SUBSTITUTE(TRIM(VLOOKUP(M30,[1]Master_Customer_Profile!$A$2:$C$11,3,0)),"+",""),"62","")," ","")</f>
        <v>8189876543</v>
      </c>
      <c r="P30" s="1" t="str">
        <f t="shared" si="1"/>
        <v>PRD-ELEC-001</v>
      </c>
      <c r="Q30" s="1" t="str">
        <f t="shared" si="2"/>
        <v>JNT-REG-TRX-2024-0029-PRD-ELEC-001</v>
      </c>
      <c r="R30" s="1" t="str">
        <f>_xlfn.XLOOKUP(P30,[2]Master_Product_Catalog!$A$2:$A$16,[2]Master_Product_Catalog!$B$2:$B$16,"",3,1)</f>
        <v>Wireless Noise Cancelling Headphones</v>
      </c>
      <c r="S30" s="1" t="str">
        <f>_xlfn.XLOOKUP(P30,[2]Master_Product_Catalog!$A$2:$A$16,[2]Master_Product_Catalog!$C$2:$C$16,"Nothing")</f>
        <v>Electronics</v>
      </c>
      <c r="T30" s="1" t="str">
        <f>_xlfn.XLOOKUP(P30,[2]Master_Product_Catalog!$A$2:$A$16,[2]Master_Product_Catalog!$D$2:$D$16,"Nothing")</f>
        <v>Audio</v>
      </c>
      <c r="U30" s="5">
        <f>_xlfn.XLOOKUP(P30,[2]Master_Product_Catalog!$A$2:$A$16,[2]Master_Product_Catalog!$E$2:$E$16,"Nothing")</f>
        <v>1250000</v>
      </c>
      <c r="V30" s="6">
        <f>_xlfn.XLOOKUP(P30,[2]Master_Product_Catalog!$A$2:$A$16,[2]Master_Product_Catalog!$F$2:$F$16,"Nothing")</f>
        <v>850000</v>
      </c>
      <c r="W30" s="1" t="str">
        <f>_xlfn.XLOOKUP(P30,[2]Master_Product_Catalog!$A$2:$A$16,[2]Master_Product_Catalog!$G$2:$G$16,"Nothing")</f>
        <v>0.8</v>
      </c>
      <c r="X30" s="1" t="str">
        <f>_xlfn.XLOOKUP(M30,[1]Master_Customer_Profile!$A$2:$A$11,[1]Master_Customer_Profile!$D$2:$D$11)</f>
        <v>DKI Jakarta</v>
      </c>
      <c r="Y30" s="1" t="str">
        <f>_xlfn.XLOOKUP(M30,[1]Master_Customer_Profile!$A$2:$A$11,[1]Master_Customer_Profile!$G$2:$G$11)</f>
        <v>Gold</v>
      </c>
      <c r="Z30" s="1" t="str">
        <f>_xlfn.XLOOKUP(G30,[3]Master_SLA_Shipping!$A$2:$A$7,[3]Master_SLA_Shipping!$B$2:$B$7)</f>
        <v>J&amp;T Express</v>
      </c>
      <c r="AA30" s="1" t="str">
        <f>_xlfn.XLOOKUP(G30,[3]Master_SLA_Shipping!$A$2:$A$7,[3]Master_SLA_Shipping!$C$2:$C$7)</f>
        <v>Regular</v>
      </c>
      <c r="AB30" s="1">
        <f>_xlfn.XLOOKUP(G30,[3]Master_SLA_Shipping!$A$2:$A$7,[3]Master_SLA_Shipping!$D$2:$D$7)</f>
        <v>4</v>
      </c>
      <c r="AC30" s="7">
        <f>_xlfn.XLOOKUP(G30,[3]Master_SLA_Shipping!$A$2:$A$7,[3]Master_SLA_Shipping!$E$2:$E$7)</f>
        <v>10000</v>
      </c>
      <c r="AD30" s="1" t="e">
        <v>#N/A</v>
      </c>
    </row>
    <row r="31" spans="1:30" x14ac:dyDescent="0.25">
      <c r="A31" s="1" t="s">
        <v>102</v>
      </c>
      <c r="B31" s="2">
        <v>45351</v>
      </c>
      <c r="C31" s="1" t="s">
        <v>45</v>
      </c>
      <c r="D31" s="1" t="s">
        <v>100</v>
      </c>
      <c r="E31" s="1">
        <v>4</v>
      </c>
      <c r="F31" s="1" t="s">
        <v>23</v>
      </c>
      <c r="G31" s="1" t="s">
        <v>67</v>
      </c>
      <c r="H31" s="2">
        <v>45354</v>
      </c>
      <c r="I31" s="2">
        <v>45356</v>
      </c>
      <c r="J31" s="1" t="s">
        <v>70</v>
      </c>
      <c r="K31" s="1" t="s">
        <v>32</v>
      </c>
      <c r="L31" s="1" t="s">
        <v>19</v>
      </c>
      <c r="M31" s="1" t="str">
        <f t="shared" si="0"/>
        <v>CUST-004</v>
      </c>
      <c r="N31" s="1" t="str">
        <f>TRIM(PROPER(VLOOKUP(M31,[1]Master_Customer_Profile!$A$2:$B$11,2,0)))</f>
        <v>Dewi Lestari</v>
      </c>
      <c r="O31" s="4" t="str">
        <f>SUBSTITUTE(SUBSTITUTE(SUBSTITUTE(TRIM(VLOOKUP(M31,[1]Master_Customer_Profile!$A$2:$C$11,3,0)),"+",""),"62","")," ","")</f>
        <v>87855443322</v>
      </c>
      <c r="P31" s="1" t="str">
        <f t="shared" si="1"/>
        <v>PRD-FASH-001</v>
      </c>
      <c r="Q31" s="1" t="str">
        <f t="shared" si="2"/>
        <v>SISEPAT-GOKIL-TRX-2024-0030-PRD-FASH-001</v>
      </c>
      <c r="R31" s="1" t="str">
        <f>_xlfn.XLOOKUP(P31,[2]Master_Product_Catalog!$A$2:$A$16,[2]Master_Product_Catalog!$B$2:$B$16,"",3,1)</f>
        <v>Men Denim Jacket Vintage Blue</v>
      </c>
      <c r="S31" s="1" t="str">
        <f>_xlfn.XLOOKUP(P31,[2]Master_Product_Catalog!$A$2:$A$16,[2]Master_Product_Catalog!$C$2:$C$16,"Nothing")</f>
        <v>Fashion</v>
      </c>
      <c r="T31" s="1" t="str">
        <f>_xlfn.XLOOKUP(P31,[2]Master_Product_Catalog!$A$2:$A$16,[2]Master_Product_Catalog!$D$2:$D$16,"Nothing")</f>
        <v>Outerwear</v>
      </c>
      <c r="U31" s="5">
        <f>_xlfn.XLOOKUP(P31,[2]Master_Product_Catalog!$A$2:$A$16,[2]Master_Product_Catalog!$E$2:$E$16,"Nothing")</f>
        <v>450000</v>
      </c>
      <c r="V31" s="6">
        <f>_xlfn.XLOOKUP(P31,[2]Master_Product_Catalog!$A$2:$A$16,[2]Master_Product_Catalog!$F$2:$F$16,"Nothing")</f>
        <v>260000</v>
      </c>
      <c r="W31" s="1" t="str">
        <f>_xlfn.XLOOKUP(P31,[2]Master_Product_Catalog!$A$2:$A$16,[2]Master_Product_Catalog!$G$2:$G$16,"Nothing")</f>
        <v>0.9</v>
      </c>
      <c r="X31" s="1" t="str">
        <f>_xlfn.XLOOKUP(M31,[1]Master_Customer_Profile!$A$2:$A$11,[1]Master_Customer_Profile!$D$2:$D$11)</f>
        <v>Jawa Timur</v>
      </c>
      <c r="Y31" s="1" t="str">
        <f>_xlfn.XLOOKUP(M31,[1]Master_Customer_Profile!$A$2:$A$11,[1]Master_Customer_Profile!$G$2:$G$11)</f>
        <v>Silver</v>
      </c>
      <c r="Z31" s="1" t="str">
        <f>_xlfn.XLOOKUP(G31,[3]Master_SLA_Shipping!$A$2:$A$7,[3]Master_SLA_Shipping!$B$2:$B$7)</f>
        <v>SiCepat</v>
      </c>
      <c r="AA31" s="1" t="str">
        <f>_xlfn.XLOOKUP(G31,[3]Master_SLA_Shipping!$A$2:$A$7,[3]Master_SLA_Shipping!$C$2:$C$7)</f>
        <v>Cargo</v>
      </c>
      <c r="AB31" s="1">
        <f>_xlfn.XLOOKUP(G31,[3]Master_SLA_Shipping!$A$2:$A$7,[3]Master_SLA_Shipping!$D$2:$D$7)</f>
        <v>5</v>
      </c>
      <c r="AC31" s="7">
        <f>_xlfn.XLOOKUP(G31,[3]Master_SLA_Shipping!$A$2:$A$7,[3]Master_SLA_Shipping!$E$2:$E$7)</f>
        <v>8000</v>
      </c>
      <c r="AD31" s="1" t="e">
        <v>#N/A</v>
      </c>
    </row>
    <row r="32" spans="1:30" x14ac:dyDescent="0.25">
      <c r="A32" s="1" t="s">
        <v>103</v>
      </c>
      <c r="B32" s="2">
        <v>45354</v>
      </c>
      <c r="C32" s="1" t="s">
        <v>13</v>
      </c>
      <c r="D32" s="1" t="s">
        <v>104</v>
      </c>
      <c r="E32" s="1">
        <v>1</v>
      </c>
      <c r="F32" s="1" t="s">
        <v>73</v>
      </c>
      <c r="G32" s="1" t="s">
        <v>16</v>
      </c>
      <c r="H32" s="2">
        <v>45355</v>
      </c>
      <c r="I32" s="2">
        <v>45360</v>
      </c>
      <c r="J32" s="1" t="s">
        <v>70</v>
      </c>
      <c r="K32" s="1" t="s">
        <v>48</v>
      </c>
      <c r="L32" s="1" t="s">
        <v>33</v>
      </c>
      <c r="M32" s="1" t="str">
        <f t="shared" si="0"/>
        <v>CUST-002</v>
      </c>
      <c r="N32" s="1" t="str">
        <f>TRIM(PROPER(VLOOKUP(M32,[1]Master_Customer_Profile!$A$2:$B$11,2,0)))</f>
        <v>Siti Nurhaliza</v>
      </c>
      <c r="O32" s="4" t="str">
        <f>SUBSTITUTE(SUBSTITUTE(SUBSTITUTE(TRIM(VLOOKUP(M32,[1]Master_Customer_Profile!$A$2:$C$11,3,0)),"+",""),"62","")," ","")</f>
        <v>8189876543</v>
      </c>
      <c r="P32" s="1" t="str">
        <f t="shared" si="1"/>
        <v>PRD-BEAU-003</v>
      </c>
      <c r="Q32" s="1" t="str">
        <f t="shared" si="2"/>
        <v>SISEPAT-BEST-TRX-2024-0031-PRD-BEAU-003</v>
      </c>
      <c r="R32" s="1" t="str">
        <f>_xlfn.XLOOKUP(P32,[2]Master_Product_Catalog!$A$2:$A$16,[2]Master_Product_Catalog!$B$2:$B$16,"",3,1)</f>
        <v>Sonic Electric Toothbrush Pro</v>
      </c>
      <c r="S32" s="1" t="str">
        <f>_xlfn.XLOOKUP(P32,[2]Master_Product_Catalog!$A$2:$A$16,[2]Master_Product_Catalog!$C$2:$C$16,"Nothing")</f>
        <v>Beauty &amp; Health</v>
      </c>
      <c r="T32" s="1" t="str">
        <f>_xlfn.XLOOKUP(P32,[2]Master_Product_Catalog!$A$2:$A$16,[2]Master_Product_Catalog!$D$2:$D$16,"Nothing")</f>
        <v>Personal Care</v>
      </c>
      <c r="U32" s="5">
        <f>_xlfn.XLOOKUP(P32,[2]Master_Product_Catalog!$A$2:$A$16,[2]Master_Product_Catalog!$E$2:$E$16,"Nothing")</f>
        <v>490000</v>
      </c>
      <c r="V32" s="6">
        <f>_xlfn.XLOOKUP(P32,[2]Master_Product_Catalog!$A$2:$A$16,[2]Master_Product_Catalog!$F$2:$F$16,"Nothing")</f>
        <v>290000</v>
      </c>
      <c r="W32" s="1" t="str">
        <f>_xlfn.XLOOKUP(P32,[2]Master_Product_Catalog!$A$2:$A$16,[2]Master_Product_Catalog!$G$2:$G$16,"Nothing")</f>
        <v>0.4</v>
      </c>
      <c r="X32" s="1" t="str">
        <f>_xlfn.XLOOKUP(M32,[1]Master_Customer_Profile!$A$2:$A$11,[1]Master_Customer_Profile!$D$2:$D$11)</f>
        <v>DKI Jakarta</v>
      </c>
      <c r="Y32" s="1" t="str">
        <f>_xlfn.XLOOKUP(M32,[1]Master_Customer_Profile!$A$2:$A$11,[1]Master_Customer_Profile!$G$2:$G$11)</f>
        <v>Gold</v>
      </c>
      <c r="Z32" s="1" t="str">
        <f>_xlfn.XLOOKUP(G32,[3]Master_SLA_Shipping!$A$2:$A$7,[3]Master_SLA_Shipping!$B$2:$B$7)</f>
        <v>SiCepat</v>
      </c>
      <c r="AA32" s="1" t="str">
        <f>_xlfn.XLOOKUP(G32,[3]Master_SLA_Shipping!$A$2:$A$7,[3]Master_SLA_Shipping!$C$2:$C$7)</f>
        <v>Express</v>
      </c>
      <c r="AB32" s="1">
        <f>_xlfn.XLOOKUP(G32,[3]Master_SLA_Shipping!$A$2:$A$7,[3]Master_SLA_Shipping!$D$2:$D$7)</f>
        <v>2</v>
      </c>
      <c r="AC32" s="7">
        <f>_xlfn.XLOOKUP(G32,[3]Master_SLA_Shipping!$A$2:$A$7,[3]Master_SLA_Shipping!$E$2:$E$7)</f>
        <v>16000</v>
      </c>
      <c r="AD32" s="1" t="e">
        <v>#N/A</v>
      </c>
    </row>
    <row r="33" spans="1:30" x14ac:dyDescent="0.25">
      <c r="A33" s="1" t="s">
        <v>105</v>
      </c>
      <c r="B33" s="2">
        <v>45355</v>
      </c>
      <c r="C33" s="1" t="s">
        <v>52</v>
      </c>
      <c r="D33" s="1" t="s">
        <v>57</v>
      </c>
      <c r="E33" s="1">
        <v>3</v>
      </c>
      <c r="F33" s="1" t="s">
        <v>23</v>
      </c>
      <c r="G33" s="1" t="s">
        <v>67</v>
      </c>
      <c r="H33" s="2">
        <v>45357</v>
      </c>
      <c r="I33" s="2">
        <v>45363</v>
      </c>
      <c r="J33" s="1" t="s">
        <v>31</v>
      </c>
      <c r="K33" s="1" t="s">
        <v>32</v>
      </c>
      <c r="L33" s="1" t="s">
        <v>43</v>
      </c>
      <c r="M33" s="1" t="str">
        <f t="shared" si="0"/>
        <v>CUST-006</v>
      </c>
      <c r="N33" s="1" t="str">
        <f>TRIM(PROPER(VLOOKUP(M33,[1]Master_Customer_Profile!$A$2:$B$11,2,0)))</f>
        <v>Rina Anggraini</v>
      </c>
      <c r="O33" s="4" t="str">
        <f>SUBSTITUTE(SUBSTITUTE(SUBSTITUTE(TRIM(VLOOKUP(M33,[1]Master_Customer_Profile!$A$2:$C$11,3,0)),"+",""),"62","")," ","")</f>
        <v>81122334455</v>
      </c>
      <c r="P33" s="1" t="str">
        <f t="shared" si="1"/>
        <v>PRD-ELEC-004</v>
      </c>
      <c r="Q33" s="1" t="str">
        <f t="shared" si="2"/>
        <v>SISEPAT-GOKIL-TRX-2024-0032-PRD-ELEC-004</v>
      </c>
      <c r="R33" s="1" t="str">
        <f>_xlfn.XLOOKUP(P33,[2]Master_Product_Catalog!$A$2:$A$16,[2]Master_Product_Catalog!$B$2:$B$16,"",3,1)</f>
        <v>Ergonomic Wireless Mouse</v>
      </c>
      <c r="S33" s="1" t="str">
        <f>_xlfn.XLOOKUP(P33,[2]Master_Product_Catalog!$A$2:$A$16,[2]Master_Product_Catalog!$C$2:$C$16,"Nothing")</f>
        <v>Electronics</v>
      </c>
      <c r="T33" s="1" t="str">
        <f>_xlfn.XLOOKUP(P33,[2]Master_Product_Catalog!$A$2:$A$16,[2]Master_Product_Catalog!$D$2:$D$16,"Nothing")</f>
        <v>Computer Accessories</v>
      </c>
      <c r="U33" s="5">
        <f>_xlfn.XLOOKUP(P33,[2]Master_Product_Catalog!$A$2:$A$16,[2]Master_Product_Catalog!$E$2:$E$16,"Nothing")</f>
        <v>350000</v>
      </c>
      <c r="V33" s="6">
        <f>_xlfn.XLOOKUP(P33,[2]Master_Product_Catalog!$A$2:$A$16,[2]Master_Product_Catalog!$F$2:$F$16,"Nothing")</f>
        <v>200000</v>
      </c>
      <c r="W33" s="1" t="str">
        <f>_xlfn.XLOOKUP(P33,[2]Master_Product_Catalog!$A$2:$A$16,[2]Master_Product_Catalog!$G$2:$G$16,"Nothing")</f>
        <v>0.25</v>
      </c>
      <c r="X33" s="1" t="str">
        <f>_xlfn.XLOOKUP(M33,[1]Master_Customer_Profile!$A$2:$A$11,[1]Master_Customer_Profile!$D$2:$D$11)</f>
        <v>Banten</v>
      </c>
      <c r="Y33" s="1" t="str">
        <f>_xlfn.XLOOKUP(M33,[1]Master_Customer_Profile!$A$2:$A$11,[1]Master_Customer_Profile!$G$2:$G$11)</f>
        <v>Silver</v>
      </c>
      <c r="Z33" s="1" t="str">
        <f>_xlfn.XLOOKUP(G33,[3]Master_SLA_Shipping!$A$2:$A$7,[3]Master_SLA_Shipping!$B$2:$B$7)</f>
        <v>SiCepat</v>
      </c>
      <c r="AA33" s="1" t="str">
        <f>_xlfn.XLOOKUP(G33,[3]Master_SLA_Shipping!$A$2:$A$7,[3]Master_SLA_Shipping!$C$2:$C$7)</f>
        <v>Cargo</v>
      </c>
      <c r="AB33" s="1">
        <f>_xlfn.XLOOKUP(G33,[3]Master_SLA_Shipping!$A$2:$A$7,[3]Master_SLA_Shipping!$D$2:$D$7)</f>
        <v>5</v>
      </c>
      <c r="AC33" s="7">
        <f>_xlfn.XLOOKUP(G33,[3]Master_SLA_Shipping!$A$2:$A$7,[3]Master_SLA_Shipping!$E$2:$E$7)</f>
        <v>8000</v>
      </c>
      <c r="AD33" s="1" t="e">
        <v>#N/A</v>
      </c>
    </row>
    <row r="34" spans="1:30" x14ac:dyDescent="0.25">
      <c r="A34" s="1" t="s">
        <v>106</v>
      </c>
      <c r="B34" s="2">
        <v>45358</v>
      </c>
      <c r="C34" s="1" t="s">
        <v>29</v>
      </c>
      <c r="D34" s="1" t="s">
        <v>107</v>
      </c>
      <c r="E34" s="1">
        <v>2</v>
      </c>
      <c r="F34" s="1" t="s">
        <v>23</v>
      </c>
      <c r="G34" s="1" t="s">
        <v>16</v>
      </c>
      <c r="H34" s="2">
        <v>45359</v>
      </c>
      <c r="I34" s="2">
        <v>45360</v>
      </c>
      <c r="J34" s="1" t="s">
        <v>38</v>
      </c>
      <c r="K34" s="1" t="s">
        <v>48</v>
      </c>
      <c r="L34" s="1" t="s">
        <v>39</v>
      </c>
      <c r="M34" s="1" t="str">
        <f t="shared" si="0"/>
        <v>CUST-005</v>
      </c>
      <c r="N34" s="1" t="str">
        <f>TRIM(PROPER(VLOOKUP(M34,[1]Master_Customer_Profile!$A$2:$B$11,2,0)))</f>
        <v>Hendra Wijaya</v>
      </c>
      <c r="O34" s="4" t="str">
        <f>SUBSTITUTE(SUBSTITUTE(SUBSTITUTE(TRIM(VLOOKUP(M34,[1]Master_Customer_Profile!$A$2:$C$11,3,0)),"+",""),"62","")," ","")</f>
        <v>8189876543</v>
      </c>
      <c r="P34" s="1" t="str">
        <f t="shared" si="1"/>
        <v>PRD-ELEC-001</v>
      </c>
      <c r="Q34" s="1" t="str">
        <f t="shared" si="2"/>
        <v>SISEPAT-BEST-TRX-2024-0033-PRD-ELEC-001</v>
      </c>
      <c r="R34" s="1" t="str">
        <f>_xlfn.XLOOKUP(P34,[2]Master_Product_Catalog!$A$2:$A$16,[2]Master_Product_Catalog!$B$2:$B$16,"",3,1)</f>
        <v>Wireless Noise Cancelling Headphones</v>
      </c>
      <c r="S34" s="1" t="str">
        <f>_xlfn.XLOOKUP(P34,[2]Master_Product_Catalog!$A$2:$A$16,[2]Master_Product_Catalog!$C$2:$C$16,"Nothing")</f>
        <v>Electronics</v>
      </c>
      <c r="T34" s="1" t="str">
        <f>_xlfn.XLOOKUP(P34,[2]Master_Product_Catalog!$A$2:$A$16,[2]Master_Product_Catalog!$D$2:$D$16,"Nothing")</f>
        <v>Audio</v>
      </c>
      <c r="U34" s="5">
        <f>_xlfn.XLOOKUP(P34,[2]Master_Product_Catalog!$A$2:$A$16,[2]Master_Product_Catalog!$E$2:$E$16,"Nothing")</f>
        <v>1250000</v>
      </c>
      <c r="V34" s="6">
        <f>_xlfn.XLOOKUP(P34,[2]Master_Product_Catalog!$A$2:$A$16,[2]Master_Product_Catalog!$F$2:$F$16,"Nothing")</f>
        <v>850000</v>
      </c>
      <c r="W34" s="1" t="str">
        <f>_xlfn.XLOOKUP(P34,[2]Master_Product_Catalog!$A$2:$A$16,[2]Master_Product_Catalog!$G$2:$G$16,"Nothing")</f>
        <v>0.8</v>
      </c>
      <c r="X34" s="1" t="str">
        <f>_xlfn.XLOOKUP(M34,[1]Master_Customer_Profile!$A$2:$A$11,[1]Master_Customer_Profile!$D$2:$D$11)</f>
        <v>DKI Jakarta</v>
      </c>
      <c r="Y34" s="1" t="str">
        <f>_xlfn.XLOOKUP(M34,[1]Master_Customer_Profile!$A$2:$A$11,[1]Master_Customer_Profile!$G$2:$G$11)</f>
        <v>Gold</v>
      </c>
      <c r="Z34" s="1" t="str">
        <f>_xlfn.XLOOKUP(G34,[3]Master_SLA_Shipping!$A$2:$A$7,[3]Master_SLA_Shipping!$B$2:$B$7)</f>
        <v>SiCepat</v>
      </c>
      <c r="AA34" s="1" t="str">
        <f>_xlfn.XLOOKUP(G34,[3]Master_SLA_Shipping!$A$2:$A$7,[3]Master_SLA_Shipping!$C$2:$C$7)</f>
        <v>Express</v>
      </c>
      <c r="AB34" s="1">
        <f>_xlfn.XLOOKUP(G34,[3]Master_SLA_Shipping!$A$2:$A$7,[3]Master_SLA_Shipping!$D$2:$D$7)</f>
        <v>2</v>
      </c>
      <c r="AC34" s="7">
        <f>_xlfn.XLOOKUP(G34,[3]Master_SLA_Shipping!$A$2:$A$7,[3]Master_SLA_Shipping!$E$2:$E$7)</f>
        <v>16000</v>
      </c>
      <c r="AD34" s="1" t="e">
        <v>#N/A</v>
      </c>
    </row>
    <row r="35" spans="1:30" x14ac:dyDescent="0.25">
      <c r="A35" s="1" t="s">
        <v>108</v>
      </c>
      <c r="B35" s="2">
        <v>45359</v>
      </c>
      <c r="C35" s="1" t="s">
        <v>13</v>
      </c>
      <c r="D35" s="1" t="s">
        <v>109</v>
      </c>
      <c r="E35" s="1">
        <v>5</v>
      </c>
      <c r="F35" s="1" t="s">
        <v>73</v>
      </c>
      <c r="G35" s="1" t="s">
        <v>37</v>
      </c>
      <c r="H35" s="2">
        <v>45360</v>
      </c>
      <c r="I35" s="2">
        <v>45361</v>
      </c>
      <c r="J35" s="1" t="s">
        <v>38</v>
      </c>
      <c r="K35" s="1" t="s">
        <v>26</v>
      </c>
      <c r="L35" s="1" t="s">
        <v>19</v>
      </c>
      <c r="M35" s="1" t="str">
        <f t="shared" si="0"/>
        <v>CUST-002</v>
      </c>
      <c r="N35" s="1" t="str">
        <f>TRIM(PROPER(VLOOKUP(M35,[1]Master_Customer_Profile!$A$2:$B$11,2,0)))</f>
        <v>Siti Nurhaliza</v>
      </c>
      <c r="O35" s="4" t="str">
        <f>SUBSTITUTE(SUBSTITUTE(SUBSTITUTE(TRIM(VLOOKUP(M35,[1]Master_Customer_Profile!$A$2:$C$11,3,0)),"+",""),"62","")," ","")</f>
        <v>8189876543</v>
      </c>
      <c r="P35" s="1" t="str">
        <f t="shared" si="1"/>
        <v>PRD-BEAU-003</v>
      </c>
      <c r="Q35" s="1" t="str">
        <f t="shared" si="2"/>
        <v>JNE-REG-TRX-2024-0034-PRD-BEAU-003</v>
      </c>
      <c r="R35" s="1" t="str">
        <f>_xlfn.XLOOKUP(P35,[2]Master_Product_Catalog!$A$2:$A$16,[2]Master_Product_Catalog!$B$2:$B$16,"",3,1)</f>
        <v>Sonic Electric Toothbrush Pro</v>
      </c>
      <c r="S35" s="1" t="str">
        <f>_xlfn.XLOOKUP(P35,[2]Master_Product_Catalog!$A$2:$A$16,[2]Master_Product_Catalog!$C$2:$C$16,"Nothing")</f>
        <v>Beauty &amp; Health</v>
      </c>
      <c r="T35" s="1" t="str">
        <f>_xlfn.XLOOKUP(P35,[2]Master_Product_Catalog!$A$2:$A$16,[2]Master_Product_Catalog!$D$2:$D$16,"Nothing")</f>
        <v>Personal Care</v>
      </c>
      <c r="U35" s="5">
        <f>_xlfn.XLOOKUP(P35,[2]Master_Product_Catalog!$A$2:$A$16,[2]Master_Product_Catalog!$E$2:$E$16,"Nothing")</f>
        <v>490000</v>
      </c>
      <c r="V35" s="6">
        <f>_xlfn.XLOOKUP(P35,[2]Master_Product_Catalog!$A$2:$A$16,[2]Master_Product_Catalog!$F$2:$F$16,"Nothing")</f>
        <v>290000</v>
      </c>
      <c r="W35" s="1" t="str">
        <f>_xlfn.XLOOKUP(P35,[2]Master_Product_Catalog!$A$2:$A$16,[2]Master_Product_Catalog!$G$2:$G$16,"Nothing")</f>
        <v>0.4</v>
      </c>
      <c r="X35" s="1" t="str">
        <f>_xlfn.XLOOKUP(M35,[1]Master_Customer_Profile!$A$2:$A$11,[1]Master_Customer_Profile!$D$2:$D$11)</f>
        <v>DKI Jakarta</v>
      </c>
      <c r="Y35" s="1" t="str">
        <f>_xlfn.XLOOKUP(M35,[1]Master_Customer_Profile!$A$2:$A$11,[1]Master_Customer_Profile!$G$2:$G$11)</f>
        <v>Gold</v>
      </c>
      <c r="Z35" s="1" t="str">
        <f>_xlfn.XLOOKUP(G35,[3]Master_SLA_Shipping!$A$2:$A$7,[3]Master_SLA_Shipping!$B$2:$B$7)</f>
        <v>JNE</v>
      </c>
      <c r="AA35" s="1" t="str">
        <f>_xlfn.XLOOKUP(G35,[3]Master_SLA_Shipping!$A$2:$A$7,[3]Master_SLA_Shipping!$C$2:$C$7)</f>
        <v>Regular</v>
      </c>
      <c r="AB35" s="1">
        <f>_xlfn.XLOOKUP(G35,[3]Master_SLA_Shipping!$A$2:$A$7,[3]Master_SLA_Shipping!$D$2:$D$7)</f>
        <v>3</v>
      </c>
      <c r="AC35" s="7">
        <f>_xlfn.XLOOKUP(G35,[3]Master_SLA_Shipping!$A$2:$A$7,[3]Master_SLA_Shipping!$E$2:$E$7)</f>
        <v>12000</v>
      </c>
      <c r="AD35" s="1" t="e">
        <v>#N/A</v>
      </c>
    </row>
    <row r="36" spans="1:30" x14ac:dyDescent="0.25">
      <c r="A36" s="1" t="s">
        <v>110</v>
      </c>
      <c r="B36" s="2">
        <v>45362</v>
      </c>
      <c r="C36" s="1" t="s">
        <v>29</v>
      </c>
      <c r="D36" s="1" t="s">
        <v>111</v>
      </c>
      <c r="E36" s="1">
        <v>3</v>
      </c>
      <c r="F36" s="1" t="s">
        <v>15</v>
      </c>
      <c r="G36" s="1" t="s">
        <v>16</v>
      </c>
      <c r="H36" s="2">
        <v>45363</v>
      </c>
      <c r="I36" s="2">
        <v>45365</v>
      </c>
      <c r="J36" s="1" t="s">
        <v>17</v>
      </c>
      <c r="K36" s="1" t="s">
        <v>18</v>
      </c>
      <c r="L36" s="1" t="s">
        <v>33</v>
      </c>
      <c r="M36" s="1" t="str">
        <f t="shared" si="0"/>
        <v>CUST-005</v>
      </c>
      <c r="N36" s="1" t="str">
        <f>TRIM(PROPER(VLOOKUP(M36,[1]Master_Customer_Profile!$A$2:$B$11,2,0)))</f>
        <v>Hendra Wijaya</v>
      </c>
      <c r="O36" s="4" t="str">
        <f>SUBSTITUTE(SUBSTITUTE(SUBSTITUTE(TRIM(VLOOKUP(M36,[1]Master_Customer_Profile!$A$2:$C$11,3,0)),"+",""),"62","")," ","")</f>
        <v>8189876543</v>
      </c>
      <c r="P36" s="1" t="str">
        <f t="shared" si="1"/>
        <v>PRD-FASH-001</v>
      </c>
      <c r="Q36" s="1" t="str">
        <f t="shared" si="2"/>
        <v>SISEPAT-BEST-TRX-2024-0035-PRD-FASH-001</v>
      </c>
      <c r="R36" s="1" t="str">
        <f>_xlfn.XLOOKUP(P36,[2]Master_Product_Catalog!$A$2:$A$16,[2]Master_Product_Catalog!$B$2:$B$16,"",3,1)</f>
        <v>Men Denim Jacket Vintage Blue</v>
      </c>
      <c r="S36" s="1" t="str">
        <f>_xlfn.XLOOKUP(P36,[2]Master_Product_Catalog!$A$2:$A$16,[2]Master_Product_Catalog!$C$2:$C$16,"Nothing")</f>
        <v>Fashion</v>
      </c>
      <c r="T36" s="1" t="str">
        <f>_xlfn.XLOOKUP(P36,[2]Master_Product_Catalog!$A$2:$A$16,[2]Master_Product_Catalog!$D$2:$D$16,"Nothing")</f>
        <v>Outerwear</v>
      </c>
      <c r="U36" s="5">
        <f>_xlfn.XLOOKUP(P36,[2]Master_Product_Catalog!$A$2:$A$16,[2]Master_Product_Catalog!$E$2:$E$16,"Nothing")</f>
        <v>450000</v>
      </c>
      <c r="V36" s="6">
        <f>_xlfn.XLOOKUP(P36,[2]Master_Product_Catalog!$A$2:$A$16,[2]Master_Product_Catalog!$F$2:$F$16,"Nothing")</f>
        <v>260000</v>
      </c>
      <c r="W36" s="1" t="str">
        <f>_xlfn.XLOOKUP(P36,[2]Master_Product_Catalog!$A$2:$A$16,[2]Master_Product_Catalog!$G$2:$G$16,"Nothing")</f>
        <v>0.9</v>
      </c>
      <c r="X36" s="1" t="str">
        <f>_xlfn.XLOOKUP(M36,[1]Master_Customer_Profile!$A$2:$A$11,[1]Master_Customer_Profile!$D$2:$D$11)</f>
        <v>DKI Jakarta</v>
      </c>
      <c r="Y36" s="1" t="str">
        <f>_xlfn.XLOOKUP(M36,[1]Master_Customer_Profile!$A$2:$A$11,[1]Master_Customer_Profile!$G$2:$G$11)</f>
        <v>Gold</v>
      </c>
      <c r="Z36" s="1" t="str">
        <f>_xlfn.XLOOKUP(G36,[3]Master_SLA_Shipping!$A$2:$A$7,[3]Master_SLA_Shipping!$B$2:$B$7)</f>
        <v>SiCepat</v>
      </c>
      <c r="AA36" s="1" t="str">
        <f>_xlfn.XLOOKUP(G36,[3]Master_SLA_Shipping!$A$2:$A$7,[3]Master_SLA_Shipping!$C$2:$C$7)</f>
        <v>Express</v>
      </c>
      <c r="AB36" s="1">
        <f>_xlfn.XLOOKUP(G36,[3]Master_SLA_Shipping!$A$2:$A$7,[3]Master_SLA_Shipping!$D$2:$D$7)</f>
        <v>2</v>
      </c>
      <c r="AC36" s="7">
        <f>_xlfn.XLOOKUP(G36,[3]Master_SLA_Shipping!$A$2:$A$7,[3]Master_SLA_Shipping!$E$2:$E$7)</f>
        <v>16000</v>
      </c>
      <c r="AD36" s="1" t="e">
        <v>#N/A</v>
      </c>
    </row>
    <row r="37" spans="1:30" x14ac:dyDescent="0.25">
      <c r="A37" s="1" t="s">
        <v>112</v>
      </c>
      <c r="B37" s="2">
        <v>45363</v>
      </c>
      <c r="C37" s="1" t="s">
        <v>113</v>
      </c>
      <c r="D37" s="1" t="s">
        <v>75</v>
      </c>
      <c r="E37" s="1">
        <v>4</v>
      </c>
      <c r="F37" s="1" t="s">
        <v>73</v>
      </c>
      <c r="G37" s="1" t="s">
        <v>42</v>
      </c>
      <c r="H37" s="2">
        <v>45364</v>
      </c>
      <c r="I37" s="2">
        <v>45370</v>
      </c>
      <c r="J37" s="1" t="s">
        <v>17</v>
      </c>
      <c r="K37" s="1" t="s">
        <v>32</v>
      </c>
      <c r="L37" s="1" t="s">
        <v>39</v>
      </c>
      <c r="M37" s="1" t="str">
        <f t="shared" si="0"/>
        <v>CUST-003</v>
      </c>
      <c r="N37" s="1" t="str">
        <f>TRIM(PROPER(VLOOKUP(M37,[1]Master_Customer_Profile!$A$2:$B$11,2,0)))</f>
        <v>Budi Santoso</v>
      </c>
      <c r="O37" s="4" t="str">
        <f>SUBSTITUTE(SUBSTITUTE(SUBSTITUTE(TRIM(VLOOKUP(M37,[1]Master_Customer_Profile!$A$2:$C$11,3,0)),"+",""),"62","")," ","")</f>
        <v>85611223344</v>
      </c>
      <c r="P37" s="1" t="str">
        <f t="shared" si="1"/>
        <v>PRD-BEAU-001</v>
      </c>
      <c r="Q37" s="1" t="str">
        <f t="shared" si="2"/>
        <v>JNE-YES-TRX-2024-0036-PRD-BEAU-001</v>
      </c>
      <c r="R37" s="1" t="str">
        <f>_xlfn.XLOOKUP(P37,[2]Master_Product_Catalog!$A$2:$A$16,[2]Master_Product_Catalog!$B$2:$B$16,"",3,1)</f>
        <v>Hydrating Serum Vitamin C 50ml</v>
      </c>
      <c r="S37" s="1" t="str">
        <f>_xlfn.XLOOKUP(P37,[2]Master_Product_Catalog!$A$2:$A$16,[2]Master_Product_Catalog!$C$2:$C$16,"Nothing")</f>
        <v>Beauty &amp; Health</v>
      </c>
      <c r="T37" s="1" t="str">
        <f>_xlfn.XLOOKUP(P37,[2]Master_Product_Catalog!$A$2:$A$16,[2]Master_Product_Catalog!$D$2:$D$16,"Nothing")</f>
        <v>Skincare</v>
      </c>
      <c r="U37" s="5">
        <f>_xlfn.XLOOKUP(P37,[2]Master_Product_Catalog!$A$2:$A$16,[2]Master_Product_Catalog!$E$2:$E$16,"Nothing")</f>
        <v>185000</v>
      </c>
      <c r="V37" s="6">
        <f>_xlfn.XLOOKUP(P37,[2]Master_Product_Catalog!$A$2:$A$16,[2]Master_Product_Catalog!$F$2:$F$16,"Nothing")</f>
        <v>85000</v>
      </c>
      <c r="W37" s="1" t="str">
        <f>_xlfn.XLOOKUP(P37,[2]Master_Product_Catalog!$A$2:$A$16,[2]Master_Product_Catalog!$G$2:$G$16,"Nothing")</f>
        <v>0.1</v>
      </c>
      <c r="X37" s="1" t="str">
        <f>_xlfn.XLOOKUP(M37,[1]Master_Customer_Profile!$A$2:$A$11,[1]Master_Customer_Profile!$D$2:$D$11)</f>
        <v>Jawa Tengah</v>
      </c>
      <c r="Y37" s="1" t="str">
        <f>_xlfn.XLOOKUP(M37,[1]Master_Customer_Profile!$A$2:$A$11,[1]Master_Customer_Profile!$G$2:$G$11)</f>
        <v>Platinum</v>
      </c>
      <c r="Z37" s="1" t="str">
        <f>_xlfn.XLOOKUP(G37,[3]Master_SLA_Shipping!$A$2:$A$7,[3]Master_SLA_Shipping!$B$2:$B$7)</f>
        <v>JNE</v>
      </c>
      <c r="AA37" s="1" t="str">
        <f>_xlfn.XLOOKUP(G37,[3]Master_SLA_Shipping!$A$2:$A$7,[3]Master_SLA_Shipping!$C$2:$C$7)</f>
        <v>Overnight</v>
      </c>
      <c r="AB37" s="1">
        <f>_xlfn.XLOOKUP(G37,[3]Master_SLA_Shipping!$A$2:$A$7,[3]Master_SLA_Shipping!$D$2:$D$7)</f>
        <v>1</v>
      </c>
      <c r="AC37" s="7">
        <f>_xlfn.XLOOKUP(G37,[3]Master_SLA_Shipping!$A$2:$A$7,[3]Master_SLA_Shipping!$E$2:$E$7)</f>
        <v>25000</v>
      </c>
      <c r="AD37" s="1" t="e">
        <v>#N/A</v>
      </c>
    </row>
    <row r="38" spans="1:30" x14ac:dyDescent="0.25">
      <c r="A38" s="1" t="s">
        <v>114</v>
      </c>
      <c r="B38" s="2">
        <v>45366</v>
      </c>
      <c r="C38" s="1" t="s">
        <v>13</v>
      </c>
      <c r="D38" s="1" t="s">
        <v>115</v>
      </c>
      <c r="E38" s="1">
        <v>4</v>
      </c>
      <c r="F38" s="1" t="s">
        <v>15</v>
      </c>
      <c r="G38" s="1" t="s">
        <v>24</v>
      </c>
      <c r="H38" s="2">
        <v>45367</v>
      </c>
      <c r="I38" s="2">
        <v>45368</v>
      </c>
      <c r="J38" s="1" t="s">
        <v>17</v>
      </c>
      <c r="K38" s="1" t="s">
        <v>62</v>
      </c>
      <c r="L38" s="1" t="s">
        <v>33</v>
      </c>
      <c r="M38" s="1" t="str">
        <f t="shared" si="0"/>
        <v>CUST-002</v>
      </c>
      <c r="N38" s="1" t="str">
        <f>TRIM(PROPER(VLOOKUP(M38,[1]Master_Customer_Profile!$A$2:$B$11,2,0)))</f>
        <v>Siti Nurhaliza</v>
      </c>
      <c r="O38" s="4" t="str">
        <f>SUBSTITUTE(SUBSTITUTE(SUBSTITUTE(TRIM(VLOOKUP(M38,[1]Master_Customer_Profile!$A$2:$C$11,3,0)),"+",""),"62","")," ","")</f>
        <v>8189876543</v>
      </c>
      <c r="P38" s="1" t="str">
        <f t="shared" si="1"/>
        <v>PRD-FASH-002</v>
      </c>
      <c r="Q38" s="1" t="str">
        <f t="shared" si="2"/>
        <v>JNT-REG-TRX-2024-0037-PRD-FASH-002</v>
      </c>
      <c r="R38" s="1" t="str">
        <f>_xlfn.XLOOKUP(P38,[2]Master_Product_Catalog!$A$2:$A$16,[2]Master_Product_Catalog!$B$2:$B$16,"",3,1)</f>
        <v>Women Floral Summer Dress</v>
      </c>
      <c r="S38" s="1" t="str">
        <f>_xlfn.XLOOKUP(P38,[2]Master_Product_Catalog!$A$2:$A$16,[2]Master_Product_Catalog!$C$2:$C$16,"Nothing")</f>
        <v>Fashion</v>
      </c>
      <c r="T38" s="1" t="str">
        <f>_xlfn.XLOOKUP(P38,[2]Master_Product_Catalog!$A$2:$A$16,[2]Master_Product_Catalog!$D$2:$D$16,"Nothing")</f>
        <v>Dresses</v>
      </c>
      <c r="U38" s="5">
        <f>_xlfn.XLOOKUP(P38,[2]Master_Product_Catalog!$A$2:$A$16,[2]Master_Product_Catalog!$E$2:$E$16,"Nothing")</f>
        <v>320000</v>
      </c>
      <c r="V38" s="6">
        <f>_xlfn.XLOOKUP(P38,[2]Master_Product_Catalog!$A$2:$A$16,[2]Master_Product_Catalog!$F$2:$F$16,"Nothing")</f>
        <v>180000</v>
      </c>
      <c r="W38" s="1" t="str">
        <f>_xlfn.XLOOKUP(P38,[2]Master_Product_Catalog!$A$2:$A$16,[2]Master_Product_Catalog!$G$2:$G$16,"Nothing")</f>
        <v>0.35</v>
      </c>
      <c r="X38" s="1" t="str">
        <f>_xlfn.XLOOKUP(M38,[1]Master_Customer_Profile!$A$2:$A$11,[1]Master_Customer_Profile!$D$2:$D$11)</f>
        <v>DKI Jakarta</v>
      </c>
      <c r="Y38" s="1" t="str">
        <f>_xlfn.XLOOKUP(M38,[1]Master_Customer_Profile!$A$2:$A$11,[1]Master_Customer_Profile!$G$2:$G$11)</f>
        <v>Gold</v>
      </c>
      <c r="Z38" s="1" t="str">
        <f>_xlfn.XLOOKUP(G38,[3]Master_SLA_Shipping!$A$2:$A$7,[3]Master_SLA_Shipping!$B$2:$B$7)</f>
        <v>J&amp;T Express</v>
      </c>
      <c r="AA38" s="1" t="str">
        <f>_xlfn.XLOOKUP(G38,[3]Master_SLA_Shipping!$A$2:$A$7,[3]Master_SLA_Shipping!$C$2:$C$7)</f>
        <v>Regular</v>
      </c>
      <c r="AB38" s="1">
        <f>_xlfn.XLOOKUP(G38,[3]Master_SLA_Shipping!$A$2:$A$7,[3]Master_SLA_Shipping!$D$2:$D$7)</f>
        <v>4</v>
      </c>
      <c r="AC38" s="7">
        <f>_xlfn.XLOOKUP(G38,[3]Master_SLA_Shipping!$A$2:$A$7,[3]Master_SLA_Shipping!$E$2:$E$7)</f>
        <v>10000</v>
      </c>
      <c r="AD38" s="1" t="e">
        <v>#N/A</v>
      </c>
    </row>
    <row r="39" spans="1:30" x14ac:dyDescent="0.25">
      <c r="A39" s="1" t="s">
        <v>116</v>
      </c>
      <c r="B39" s="2">
        <v>45368</v>
      </c>
      <c r="C39" s="1" t="s">
        <v>45</v>
      </c>
      <c r="D39" s="1" t="s">
        <v>117</v>
      </c>
      <c r="E39" s="1">
        <v>1</v>
      </c>
      <c r="F39" s="1" t="s">
        <v>23</v>
      </c>
      <c r="G39" s="1" t="s">
        <v>67</v>
      </c>
      <c r="H39" s="2">
        <v>45371</v>
      </c>
      <c r="I39" s="2">
        <v>45373</v>
      </c>
      <c r="J39" s="1" t="s">
        <v>38</v>
      </c>
      <c r="K39" s="1" t="s">
        <v>32</v>
      </c>
      <c r="L39" s="1" t="s">
        <v>19</v>
      </c>
      <c r="M39" s="1" t="str">
        <f t="shared" si="0"/>
        <v>CUST-004</v>
      </c>
      <c r="N39" s="1" t="str">
        <f>TRIM(PROPER(VLOOKUP(M39,[1]Master_Customer_Profile!$A$2:$B$11,2,0)))</f>
        <v>Dewi Lestari</v>
      </c>
      <c r="O39" s="4" t="str">
        <f>SUBSTITUTE(SUBSTITUTE(SUBSTITUTE(TRIM(VLOOKUP(M39,[1]Master_Customer_Profile!$A$2:$C$11,3,0)),"+",""),"62","")," ","")</f>
        <v>87855443322</v>
      </c>
      <c r="P39" s="1" t="str">
        <f t="shared" si="1"/>
        <v>PRD-FASH-002</v>
      </c>
      <c r="Q39" s="1" t="str">
        <f t="shared" si="2"/>
        <v>SISEPAT-GOKIL-TRX-2024-0038-PRD-FASH-002</v>
      </c>
      <c r="R39" s="1" t="str">
        <f>_xlfn.XLOOKUP(P39,[2]Master_Product_Catalog!$A$2:$A$16,[2]Master_Product_Catalog!$B$2:$B$16,"",3,1)</f>
        <v>Women Floral Summer Dress</v>
      </c>
      <c r="S39" s="1" t="str">
        <f>_xlfn.XLOOKUP(P39,[2]Master_Product_Catalog!$A$2:$A$16,[2]Master_Product_Catalog!$C$2:$C$16,"Nothing")</f>
        <v>Fashion</v>
      </c>
      <c r="T39" s="1" t="str">
        <f>_xlfn.XLOOKUP(P39,[2]Master_Product_Catalog!$A$2:$A$16,[2]Master_Product_Catalog!$D$2:$D$16,"Nothing")</f>
        <v>Dresses</v>
      </c>
      <c r="U39" s="5">
        <f>_xlfn.XLOOKUP(P39,[2]Master_Product_Catalog!$A$2:$A$16,[2]Master_Product_Catalog!$E$2:$E$16,"Nothing")</f>
        <v>320000</v>
      </c>
      <c r="V39" s="6">
        <f>_xlfn.XLOOKUP(P39,[2]Master_Product_Catalog!$A$2:$A$16,[2]Master_Product_Catalog!$F$2:$F$16,"Nothing")</f>
        <v>180000</v>
      </c>
      <c r="W39" s="1" t="str">
        <f>_xlfn.XLOOKUP(P39,[2]Master_Product_Catalog!$A$2:$A$16,[2]Master_Product_Catalog!$G$2:$G$16,"Nothing")</f>
        <v>0.35</v>
      </c>
      <c r="X39" s="1" t="str">
        <f>_xlfn.XLOOKUP(M39,[1]Master_Customer_Profile!$A$2:$A$11,[1]Master_Customer_Profile!$D$2:$D$11)</f>
        <v>Jawa Timur</v>
      </c>
      <c r="Y39" s="1" t="str">
        <f>_xlfn.XLOOKUP(M39,[1]Master_Customer_Profile!$A$2:$A$11,[1]Master_Customer_Profile!$G$2:$G$11)</f>
        <v>Silver</v>
      </c>
      <c r="Z39" s="1" t="str">
        <f>_xlfn.XLOOKUP(G39,[3]Master_SLA_Shipping!$A$2:$A$7,[3]Master_SLA_Shipping!$B$2:$B$7)</f>
        <v>SiCepat</v>
      </c>
      <c r="AA39" s="1" t="str">
        <f>_xlfn.XLOOKUP(G39,[3]Master_SLA_Shipping!$A$2:$A$7,[3]Master_SLA_Shipping!$C$2:$C$7)</f>
        <v>Cargo</v>
      </c>
      <c r="AB39" s="1">
        <f>_xlfn.XLOOKUP(G39,[3]Master_SLA_Shipping!$A$2:$A$7,[3]Master_SLA_Shipping!$D$2:$D$7)</f>
        <v>5</v>
      </c>
      <c r="AC39" s="7">
        <f>_xlfn.XLOOKUP(G39,[3]Master_SLA_Shipping!$A$2:$A$7,[3]Master_SLA_Shipping!$E$2:$E$7)</f>
        <v>8000</v>
      </c>
      <c r="AD39" s="1" t="e">
        <v>#N/A</v>
      </c>
    </row>
    <row r="40" spans="1:30" x14ac:dyDescent="0.25">
      <c r="A40" s="1" t="s">
        <v>118</v>
      </c>
      <c r="B40" s="2">
        <v>45370</v>
      </c>
      <c r="C40" s="1" t="s">
        <v>21</v>
      </c>
      <c r="D40" s="1" t="s">
        <v>119</v>
      </c>
      <c r="E40" s="1">
        <v>5</v>
      </c>
      <c r="F40" s="1" t="s">
        <v>120</v>
      </c>
      <c r="G40" s="1" t="s">
        <v>42</v>
      </c>
      <c r="H40" s="2">
        <v>45371</v>
      </c>
      <c r="I40" s="2">
        <v>45374</v>
      </c>
      <c r="J40" s="1" t="s">
        <v>25</v>
      </c>
      <c r="K40" s="1" t="s">
        <v>18</v>
      </c>
      <c r="L40" s="1" t="s">
        <v>19</v>
      </c>
      <c r="M40" s="1" t="str">
        <f t="shared" si="0"/>
        <v>CUST-001</v>
      </c>
      <c r="N40" s="1" t="str">
        <f>TRIM(PROPER(VLOOKUP(M40,[1]Master_Customer_Profile!$A$2:$B$11,2,0)))</f>
        <v>Ahmad Fauzi</v>
      </c>
      <c r="O40" s="4" t="str">
        <f>SUBSTITUTE(SUBSTITUTE(SUBSTITUTE(TRIM(VLOOKUP(M40,[1]Master_Customer_Profile!$A$2:$C$11,3,0)),"+",""),"62","")," ","")</f>
        <v>81234567890</v>
      </c>
      <c r="P40" s="1" t="str">
        <f t="shared" si="1"/>
        <v>PRD-ELEC-002</v>
      </c>
      <c r="Q40" s="1" t="str">
        <f t="shared" si="2"/>
        <v>JNE-YES-TRX-2024-0039-PRD-ELEC-002</v>
      </c>
      <c r="R40" s="1" t="str">
        <f>_xlfn.XLOOKUP(P40,[2]Master_Product_Catalog!$A$2:$A$16,[2]Master_Product_Catalog!$B$2:$B$16,"",3,1)</f>
        <v>Smart Watch Fitness Tracker V2</v>
      </c>
      <c r="S40" s="1" t="str">
        <f>_xlfn.XLOOKUP(P40,[2]Master_Product_Catalog!$A$2:$A$16,[2]Master_Product_Catalog!$C$2:$C$16,"Nothing")</f>
        <v>Electronics</v>
      </c>
      <c r="T40" s="1" t="str">
        <f>_xlfn.XLOOKUP(P40,[2]Master_Product_Catalog!$A$2:$A$16,[2]Master_Product_Catalog!$D$2:$D$16,"Nothing")</f>
        <v>Wearables</v>
      </c>
      <c r="U40" s="5">
        <f>_xlfn.XLOOKUP(P40,[2]Master_Product_Catalog!$A$2:$A$16,[2]Master_Product_Catalog!$E$2:$E$16,"Nothing")</f>
        <v>850000</v>
      </c>
      <c r="V40" s="6">
        <f>_xlfn.XLOOKUP(P40,[2]Master_Product_Catalog!$A$2:$A$16,[2]Master_Product_Catalog!$F$2:$F$16,"Nothing")</f>
        <v>520000</v>
      </c>
      <c r="W40" s="1" t="str">
        <f>_xlfn.XLOOKUP(P40,[2]Master_Product_Catalog!$A$2:$A$16,[2]Master_Product_Catalog!$G$2:$G$16,"Nothing")</f>
        <v>0.3</v>
      </c>
      <c r="X40" s="1" t="str">
        <f>_xlfn.XLOOKUP(M40,[1]Master_Customer_Profile!$A$2:$A$11,[1]Master_Customer_Profile!$D$2:$D$11)</f>
        <v>Jawa Barat</v>
      </c>
      <c r="Y40" s="1" t="str">
        <f>_xlfn.XLOOKUP(M40,[1]Master_Customer_Profile!$A$2:$A$11,[1]Master_Customer_Profile!$G$2:$G$11)</f>
        <v>VIP</v>
      </c>
      <c r="Z40" s="1" t="str">
        <f>_xlfn.XLOOKUP(G40,[3]Master_SLA_Shipping!$A$2:$A$7,[3]Master_SLA_Shipping!$B$2:$B$7)</f>
        <v>JNE</v>
      </c>
      <c r="AA40" s="1" t="str">
        <f>_xlfn.XLOOKUP(G40,[3]Master_SLA_Shipping!$A$2:$A$7,[3]Master_SLA_Shipping!$C$2:$C$7)</f>
        <v>Overnight</v>
      </c>
      <c r="AB40" s="1">
        <f>_xlfn.XLOOKUP(G40,[3]Master_SLA_Shipping!$A$2:$A$7,[3]Master_SLA_Shipping!$D$2:$D$7)</f>
        <v>1</v>
      </c>
      <c r="AC40" s="7">
        <f>_xlfn.XLOOKUP(G40,[3]Master_SLA_Shipping!$A$2:$A$7,[3]Master_SLA_Shipping!$E$2:$E$7)</f>
        <v>25000</v>
      </c>
      <c r="AD40" s="1" t="e">
        <v>#N/A</v>
      </c>
    </row>
    <row r="41" spans="1:30" x14ac:dyDescent="0.25">
      <c r="A41" s="1" t="s">
        <v>121</v>
      </c>
      <c r="B41" s="2">
        <v>45371</v>
      </c>
      <c r="C41" s="1" t="s">
        <v>82</v>
      </c>
      <c r="D41" s="1" t="s">
        <v>122</v>
      </c>
      <c r="E41" s="1">
        <v>5</v>
      </c>
      <c r="F41" s="1" t="s">
        <v>15</v>
      </c>
      <c r="G41" s="1" t="s">
        <v>16</v>
      </c>
      <c r="H41" s="2">
        <v>45374</v>
      </c>
      <c r="I41" s="2">
        <v>45379</v>
      </c>
      <c r="J41" s="1" t="s">
        <v>38</v>
      </c>
      <c r="K41" s="1" t="s">
        <v>18</v>
      </c>
      <c r="L41" s="1" t="s">
        <v>39</v>
      </c>
      <c r="M41" s="1" t="str">
        <f t="shared" si="0"/>
        <v>CUST-010</v>
      </c>
      <c r="N41" s="1" t="str">
        <f>TRIM(PROPER(VLOOKUP(M41,[1]Master_Customer_Profile!$A$2:$B$11,2,0)))</f>
        <v>Valentina Rosi</v>
      </c>
      <c r="O41" s="4" t="str">
        <f>SUBSTITUTE(SUBSTITUTE(SUBSTITUTE(TRIM(VLOOKUP(M41,[1]Master_Customer_Profile!$A$2:$C$11,3,0)),"+",""),"62","")," ","")</f>
        <v>81377665544</v>
      </c>
      <c r="P41" s="1" t="str">
        <f t="shared" si="1"/>
        <v>PRD-FASH-004</v>
      </c>
      <c r="Q41" s="1" t="str">
        <f t="shared" si="2"/>
        <v>SISEPAT-BEST-TRX-2024-0040-PRD-FASH-004</v>
      </c>
      <c r="R41" s="1" t="str">
        <f>_xlfn.XLOOKUP(P41,[2]Master_Product_Catalog!$A$2:$A$16,[2]Master_Product_Catalog!$B$2:$B$16,"",3,1)</f>
        <v>Leather Minimalist Wallet</v>
      </c>
      <c r="S41" s="1" t="str">
        <f>_xlfn.XLOOKUP(P41,[2]Master_Product_Catalog!$A$2:$A$16,[2]Master_Product_Catalog!$C$2:$C$16,"Nothing")</f>
        <v>Fashion</v>
      </c>
      <c r="T41" s="1" t="str">
        <f>_xlfn.XLOOKUP(P41,[2]Master_Product_Catalog!$A$2:$A$16,[2]Master_Product_Catalog!$D$2:$D$16,"Nothing")</f>
        <v>Accessories</v>
      </c>
      <c r="U41" s="5">
        <f>_xlfn.XLOOKUP(P41,[2]Master_Product_Catalog!$A$2:$A$16,[2]Master_Product_Catalog!$E$2:$E$16,"Nothing")</f>
        <v>220000</v>
      </c>
      <c r="V41" s="6">
        <f>_xlfn.XLOOKUP(P41,[2]Master_Product_Catalog!$A$2:$A$16,[2]Master_Product_Catalog!$F$2:$F$16,"Nothing")</f>
        <v>110000</v>
      </c>
      <c r="W41" s="1" t="str">
        <f>_xlfn.XLOOKUP(P41,[2]Master_Product_Catalog!$A$2:$A$16,[2]Master_Product_Catalog!$G$2:$G$16,"Nothing")</f>
        <v>0.15</v>
      </c>
      <c r="X41" s="1" t="str">
        <f>_xlfn.XLOOKUP(M41,[1]Master_Customer_Profile!$A$2:$A$11,[1]Master_Customer_Profile!$D$2:$D$11)</f>
        <v>Bali</v>
      </c>
      <c r="Y41" s="1" t="str">
        <f>_xlfn.XLOOKUP(M41,[1]Master_Customer_Profile!$A$2:$A$11,[1]Master_Customer_Profile!$G$2:$G$11)</f>
        <v>VIP</v>
      </c>
      <c r="Z41" s="1" t="str">
        <f>_xlfn.XLOOKUP(G41,[3]Master_SLA_Shipping!$A$2:$A$7,[3]Master_SLA_Shipping!$B$2:$B$7)</f>
        <v>SiCepat</v>
      </c>
      <c r="AA41" s="1" t="str">
        <f>_xlfn.XLOOKUP(G41,[3]Master_SLA_Shipping!$A$2:$A$7,[3]Master_SLA_Shipping!$C$2:$C$7)</f>
        <v>Express</v>
      </c>
      <c r="AB41" s="1">
        <f>_xlfn.XLOOKUP(G41,[3]Master_SLA_Shipping!$A$2:$A$7,[3]Master_SLA_Shipping!$D$2:$D$7)</f>
        <v>2</v>
      </c>
      <c r="AC41" s="7">
        <f>_xlfn.XLOOKUP(G41,[3]Master_SLA_Shipping!$A$2:$A$7,[3]Master_SLA_Shipping!$E$2:$E$7)</f>
        <v>16000</v>
      </c>
      <c r="AD41" s="1" t="e">
        <v>#N/A</v>
      </c>
    </row>
    <row r="42" spans="1:30" x14ac:dyDescent="0.25">
      <c r="A42" s="1" t="s">
        <v>123</v>
      </c>
      <c r="B42" s="2">
        <v>45374</v>
      </c>
      <c r="C42" s="1" t="s">
        <v>45</v>
      </c>
      <c r="D42" s="1" t="s">
        <v>111</v>
      </c>
      <c r="E42" s="1">
        <v>3</v>
      </c>
      <c r="F42" s="1" t="s">
        <v>23</v>
      </c>
      <c r="G42" s="1" t="s">
        <v>67</v>
      </c>
      <c r="H42" s="2">
        <v>45376</v>
      </c>
      <c r="I42" s="2">
        <v>45378</v>
      </c>
      <c r="J42" s="1" t="s">
        <v>38</v>
      </c>
      <c r="K42" s="1" t="s">
        <v>18</v>
      </c>
      <c r="L42" s="1" t="s">
        <v>33</v>
      </c>
      <c r="M42" s="1" t="str">
        <f t="shared" si="0"/>
        <v>CUST-004</v>
      </c>
      <c r="N42" s="1" t="str">
        <f>TRIM(PROPER(VLOOKUP(M42,[1]Master_Customer_Profile!$A$2:$B$11,2,0)))</f>
        <v>Dewi Lestari</v>
      </c>
      <c r="O42" s="4" t="str">
        <f>SUBSTITUTE(SUBSTITUTE(SUBSTITUTE(TRIM(VLOOKUP(M42,[1]Master_Customer_Profile!$A$2:$C$11,3,0)),"+",""),"62","")," ","")</f>
        <v>87855443322</v>
      </c>
      <c r="P42" s="1" t="str">
        <f t="shared" si="1"/>
        <v>PRD-FASH-001</v>
      </c>
      <c r="Q42" s="1" t="str">
        <f t="shared" si="2"/>
        <v>SISEPAT-GOKIL-TRX-2024-0041-PRD-FASH-001</v>
      </c>
      <c r="R42" s="1" t="str">
        <f>_xlfn.XLOOKUP(P42,[2]Master_Product_Catalog!$A$2:$A$16,[2]Master_Product_Catalog!$B$2:$B$16,"",3,1)</f>
        <v>Men Denim Jacket Vintage Blue</v>
      </c>
      <c r="S42" s="1" t="str">
        <f>_xlfn.XLOOKUP(P42,[2]Master_Product_Catalog!$A$2:$A$16,[2]Master_Product_Catalog!$C$2:$C$16,"Nothing")</f>
        <v>Fashion</v>
      </c>
      <c r="T42" s="1" t="str">
        <f>_xlfn.XLOOKUP(P42,[2]Master_Product_Catalog!$A$2:$A$16,[2]Master_Product_Catalog!$D$2:$D$16,"Nothing")</f>
        <v>Outerwear</v>
      </c>
      <c r="U42" s="5">
        <f>_xlfn.XLOOKUP(P42,[2]Master_Product_Catalog!$A$2:$A$16,[2]Master_Product_Catalog!$E$2:$E$16,"Nothing")</f>
        <v>450000</v>
      </c>
      <c r="V42" s="6">
        <f>_xlfn.XLOOKUP(P42,[2]Master_Product_Catalog!$A$2:$A$16,[2]Master_Product_Catalog!$F$2:$F$16,"Nothing")</f>
        <v>260000</v>
      </c>
      <c r="W42" s="1" t="str">
        <f>_xlfn.XLOOKUP(P42,[2]Master_Product_Catalog!$A$2:$A$16,[2]Master_Product_Catalog!$G$2:$G$16,"Nothing")</f>
        <v>0.9</v>
      </c>
      <c r="X42" s="1" t="str">
        <f>_xlfn.XLOOKUP(M42,[1]Master_Customer_Profile!$A$2:$A$11,[1]Master_Customer_Profile!$D$2:$D$11)</f>
        <v>Jawa Timur</v>
      </c>
      <c r="Y42" s="1" t="str">
        <f>_xlfn.XLOOKUP(M42,[1]Master_Customer_Profile!$A$2:$A$11,[1]Master_Customer_Profile!$G$2:$G$11)</f>
        <v>Silver</v>
      </c>
      <c r="Z42" s="1" t="str">
        <f>_xlfn.XLOOKUP(G42,[3]Master_SLA_Shipping!$A$2:$A$7,[3]Master_SLA_Shipping!$B$2:$B$7)</f>
        <v>SiCepat</v>
      </c>
      <c r="AA42" s="1" t="str">
        <f>_xlfn.XLOOKUP(G42,[3]Master_SLA_Shipping!$A$2:$A$7,[3]Master_SLA_Shipping!$C$2:$C$7)</f>
        <v>Cargo</v>
      </c>
      <c r="AB42" s="1">
        <f>_xlfn.XLOOKUP(G42,[3]Master_SLA_Shipping!$A$2:$A$7,[3]Master_SLA_Shipping!$D$2:$D$7)</f>
        <v>5</v>
      </c>
      <c r="AC42" s="7">
        <f>_xlfn.XLOOKUP(G42,[3]Master_SLA_Shipping!$A$2:$A$7,[3]Master_SLA_Shipping!$E$2:$E$7)</f>
        <v>8000</v>
      </c>
      <c r="AD42" s="1" t="e">
        <v>#N/A</v>
      </c>
    </row>
    <row r="43" spans="1:30" x14ac:dyDescent="0.25">
      <c r="A43" s="1" t="s">
        <v>124</v>
      </c>
      <c r="B43" s="2">
        <v>45376</v>
      </c>
      <c r="C43" s="1" t="s">
        <v>84</v>
      </c>
      <c r="D43" s="1" t="s">
        <v>125</v>
      </c>
      <c r="E43" s="1">
        <v>2</v>
      </c>
      <c r="F43" s="1" t="s">
        <v>15</v>
      </c>
      <c r="G43" s="1" t="s">
        <v>37</v>
      </c>
      <c r="H43" s="2">
        <v>45379</v>
      </c>
      <c r="I43" s="2">
        <v>45385</v>
      </c>
      <c r="J43" s="1" t="s">
        <v>31</v>
      </c>
      <c r="K43" s="1" t="s">
        <v>62</v>
      </c>
      <c r="L43" s="1" t="s">
        <v>27</v>
      </c>
      <c r="M43" s="1" t="str">
        <f t="shared" si="0"/>
        <v>CUST-007</v>
      </c>
      <c r="N43" s="1" t="str">
        <f>TRIM(PROPER(VLOOKUP(M43,[1]Master_Customer_Profile!$A$2:$B$11,2,0)))</f>
        <v>Eko Prasetyo</v>
      </c>
      <c r="O43" s="4" t="str">
        <f>SUBSTITUTE(SUBSTITUTE(SUBSTITUTE(TRIM(VLOOKUP(M43,[1]Master_Customer_Profile!$A$2:$C$11,3,0)),"+",""),"62","")," ","")</f>
        <v>8170099887</v>
      </c>
      <c r="P43" s="1" t="str">
        <f t="shared" si="1"/>
        <v>PRD-HOME-003</v>
      </c>
      <c r="Q43" s="1" t="str">
        <f t="shared" si="2"/>
        <v>JNE-REG-TRX-2024-0042-PRD-HOME-003</v>
      </c>
      <c r="R43" s="1" t="str">
        <f>_xlfn.XLOOKUP(P43,[2]Master_Product_Catalog!$A$2:$A$16,[2]Master_Product_Catalog!$B$2:$B$16,"",3,1)</f>
        <v>Stainless Steel Cookware Set 5pcs</v>
      </c>
      <c r="S43" s="1" t="str">
        <f>_xlfn.XLOOKUP(P43,[2]Master_Product_Catalog!$A$2:$A$16,[2]Master_Product_Catalog!$C$2:$C$16,"Nothing")</f>
        <v>Home &amp; Living</v>
      </c>
      <c r="T43" s="1" t="str">
        <f>_xlfn.XLOOKUP(P43,[2]Master_Product_Catalog!$A$2:$A$16,[2]Master_Product_Catalog!$D$2:$D$16,"Nothing")</f>
        <v>Kitchenware</v>
      </c>
      <c r="U43" s="5">
        <f>_xlfn.XLOOKUP(P43,[2]Master_Product_Catalog!$A$2:$A$16,[2]Master_Product_Catalog!$E$2:$E$16,"Nothing")</f>
        <v>880000</v>
      </c>
      <c r="V43" s="6">
        <f>_xlfn.XLOOKUP(P43,[2]Master_Product_Catalog!$A$2:$A$16,[2]Master_Product_Catalog!$F$2:$F$16,"Nothing")</f>
        <v>540000</v>
      </c>
      <c r="W43" s="1" t="str">
        <f>_xlfn.XLOOKUP(P43,[2]Master_Product_Catalog!$A$2:$A$16,[2]Master_Product_Catalog!$G$2:$G$16,"Nothing")</f>
        <v>3.8</v>
      </c>
      <c r="X43" s="1" t="str">
        <f>_xlfn.XLOOKUP(M43,[1]Master_Customer_Profile!$A$2:$A$11,[1]Master_Customer_Profile!$D$2:$D$11)</f>
        <v>DI Yogyakarta</v>
      </c>
      <c r="Y43" s="1" t="str">
        <f>_xlfn.XLOOKUP(M43,[1]Master_Customer_Profile!$A$2:$A$11,[1]Master_Customer_Profile!$G$2:$G$11)</f>
        <v>Platinum</v>
      </c>
      <c r="Z43" s="1" t="str">
        <f>_xlfn.XLOOKUP(G43,[3]Master_SLA_Shipping!$A$2:$A$7,[3]Master_SLA_Shipping!$B$2:$B$7)</f>
        <v>JNE</v>
      </c>
      <c r="AA43" s="1" t="str">
        <f>_xlfn.XLOOKUP(G43,[3]Master_SLA_Shipping!$A$2:$A$7,[3]Master_SLA_Shipping!$C$2:$C$7)</f>
        <v>Regular</v>
      </c>
      <c r="AB43" s="1">
        <f>_xlfn.XLOOKUP(G43,[3]Master_SLA_Shipping!$A$2:$A$7,[3]Master_SLA_Shipping!$D$2:$D$7)</f>
        <v>3</v>
      </c>
      <c r="AC43" s="7">
        <f>_xlfn.XLOOKUP(G43,[3]Master_SLA_Shipping!$A$2:$A$7,[3]Master_SLA_Shipping!$E$2:$E$7)</f>
        <v>12000</v>
      </c>
      <c r="AD43" s="1" t="e">
        <v>#N/A</v>
      </c>
    </row>
    <row r="44" spans="1:30" x14ac:dyDescent="0.25">
      <c r="A44" s="1" t="s">
        <v>126</v>
      </c>
      <c r="B44" s="2">
        <v>45378</v>
      </c>
      <c r="C44" s="1" t="s">
        <v>21</v>
      </c>
      <c r="D44" s="1" t="s">
        <v>127</v>
      </c>
      <c r="E44" s="1">
        <v>4</v>
      </c>
      <c r="F44" s="1" t="s">
        <v>23</v>
      </c>
      <c r="G44" s="1" t="s">
        <v>37</v>
      </c>
      <c r="H44" s="2">
        <v>45380</v>
      </c>
      <c r="I44" s="2">
        <v>45385</v>
      </c>
      <c r="J44" s="1" t="s">
        <v>70</v>
      </c>
      <c r="K44" s="1" t="s">
        <v>26</v>
      </c>
      <c r="L44" s="1" t="s">
        <v>33</v>
      </c>
      <c r="M44" s="1" t="str">
        <f t="shared" si="0"/>
        <v>CUST-001</v>
      </c>
      <c r="N44" s="1" t="str">
        <f>TRIM(PROPER(VLOOKUP(M44,[1]Master_Customer_Profile!$A$2:$B$11,2,0)))</f>
        <v>Ahmad Fauzi</v>
      </c>
      <c r="O44" s="4" t="str">
        <f>SUBSTITUTE(SUBSTITUTE(SUBSTITUTE(TRIM(VLOOKUP(M44,[1]Master_Customer_Profile!$A$2:$C$11,3,0)),"+",""),"62","")," ","")</f>
        <v>81234567890</v>
      </c>
      <c r="P44" s="1" t="str">
        <f t="shared" si="1"/>
        <v>PRD-ELEC-005</v>
      </c>
      <c r="Q44" s="1" t="str">
        <f t="shared" si="2"/>
        <v>JNE-REG-TRX-2024-0043-PRD-ELEC-005</v>
      </c>
      <c r="R44" s="1" t="str">
        <f>_xlfn.XLOOKUP(P44,[2]Master_Product_Catalog!$A$2:$A$16,[2]Master_Product_Catalog!$B$2:$B$16,"",3,1)</f>
        <v>Ultra HD Webcam 4K Pro</v>
      </c>
      <c r="S44" s="1" t="str">
        <f>_xlfn.XLOOKUP(P44,[2]Master_Product_Catalog!$A$2:$A$16,[2]Master_Product_Catalog!$C$2:$C$16,"Nothing")</f>
        <v>Electronics</v>
      </c>
      <c r="T44" s="1" t="str">
        <f>_xlfn.XLOOKUP(P44,[2]Master_Product_Catalog!$A$2:$A$16,[2]Master_Product_Catalog!$D$2:$D$16,"Nothing")</f>
        <v>Computer Accessories</v>
      </c>
      <c r="U44" s="5">
        <f>_xlfn.XLOOKUP(P44,[2]Master_Product_Catalog!$A$2:$A$16,[2]Master_Product_Catalog!$E$2:$E$16,"Nothing")</f>
        <v>1100000</v>
      </c>
      <c r="V44" s="6">
        <f>_xlfn.XLOOKUP(P44,[2]Master_Product_Catalog!$A$2:$A$16,[2]Master_Product_Catalog!$F$2:$F$16,"Nothing")</f>
        <v>720000</v>
      </c>
      <c r="W44" s="1" t="str">
        <f>_xlfn.XLOOKUP(P44,[2]Master_Product_Catalog!$A$2:$A$16,[2]Master_Product_Catalog!$G$2:$G$16,"Nothing")</f>
        <v>0.4</v>
      </c>
      <c r="X44" s="1" t="str">
        <f>_xlfn.XLOOKUP(M44,[1]Master_Customer_Profile!$A$2:$A$11,[1]Master_Customer_Profile!$D$2:$D$11)</f>
        <v>Jawa Barat</v>
      </c>
      <c r="Y44" s="1" t="str">
        <f>_xlfn.XLOOKUP(M44,[1]Master_Customer_Profile!$A$2:$A$11,[1]Master_Customer_Profile!$G$2:$G$11)</f>
        <v>VIP</v>
      </c>
      <c r="Z44" s="1" t="str">
        <f>_xlfn.XLOOKUP(G44,[3]Master_SLA_Shipping!$A$2:$A$7,[3]Master_SLA_Shipping!$B$2:$B$7)</f>
        <v>JNE</v>
      </c>
      <c r="AA44" s="1" t="str">
        <f>_xlfn.XLOOKUP(G44,[3]Master_SLA_Shipping!$A$2:$A$7,[3]Master_SLA_Shipping!$C$2:$C$7)</f>
        <v>Regular</v>
      </c>
      <c r="AB44" s="1">
        <f>_xlfn.XLOOKUP(G44,[3]Master_SLA_Shipping!$A$2:$A$7,[3]Master_SLA_Shipping!$D$2:$D$7)</f>
        <v>3</v>
      </c>
      <c r="AC44" s="7">
        <f>_xlfn.XLOOKUP(G44,[3]Master_SLA_Shipping!$A$2:$A$7,[3]Master_SLA_Shipping!$E$2:$E$7)</f>
        <v>12000</v>
      </c>
      <c r="AD44" s="1" t="e">
        <v>#N/A</v>
      </c>
    </row>
    <row r="45" spans="1:30" x14ac:dyDescent="0.25">
      <c r="A45" s="1" t="s">
        <v>128</v>
      </c>
      <c r="B45" s="2">
        <v>45380</v>
      </c>
      <c r="C45" s="1" t="s">
        <v>129</v>
      </c>
      <c r="D45" s="1" t="s">
        <v>96</v>
      </c>
      <c r="E45" s="1">
        <v>2</v>
      </c>
      <c r="F45" s="1" t="s">
        <v>23</v>
      </c>
      <c r="G45" s="1" t="s">
        <v>54</v>
      </c>
      <c r="H45" s="2">
        <v>45381</v>
      </c>
      <c r="I45" s="2">
        <v>45386</v>
      </c>
      <c r="J45" s="1" t="s">
        <v>25</v>
      </c>
      <c r="K45" s="1" t="s">
        <v>32</v>
      </c>
      <c r="L45" s="1" t="s">
        <v>19</v>
      </c>
      <c r="M45" s="1" t="str">
        <f t="shared" si="0"/>
        <v>CUST-004</v>
      </c>
      <c r="N45" s="1" t="str">
        <f>TRIM(PROPER(VLOOKUP(M45,[1]Master_Customer_Profile!$A$2:$B$11,2,0)))</f>
        <v>Dewi Lestari</v>
      </c>
      <c r="O45" s="4" t="str">
        <f>SUBSTITUTE(SUBSTITUTE(SUBSTITUTE(TRIM(VLOOKUP(M45,[1]Master_Customer_Profile!$A$2:$C$11,3,0)),"+",""),"62","")," ","")</f>
        <v>87855443322</v>
      </c>
      <c r="P45" s="1" t="str">
        <f t="shared" si="1"/>
        <v>PRD-FASH-004</v>
      </c>
      <c r="Q45" s="1" t="str">
        <f t="shared" si="2"/>
        <v>JNT-EXP-TRX-2024-0044-PRD-FASH-004</v>
      </c>
      <c r="R45" s="1" t="str">
        <f>_xlfn.XLOOKUP(P45,[2]Master_Product_Catalog!$A$2:$A$16,[2]Master_Product_Catalog!$B$2:$B$16,"",3,1)</f>
        <v>Leather Minimalist Wallet</v>
      </c>
      <c r="S45" s="1" t="str">
        <f>_xlfn.XLOOKUP(P45,[2]Master_Product_Catalog!$A$2:$A$16,[2]Master_Product_Catalog!$C$2:$C$16,"Nothing")</f>
        <v>Fashion</v>
      </c>
      <c r="T45" s="1" t="str">
        <f>_xlfn.XLOOKUP(P45,[2]Master_Product_Catalog!$A$2:$A$16,[2]Master_Product_Catalog!$D$2:$D$16,"Nothing")</f>
        <v>Accessories</v>
      </c>
      <c r="U45" s="5">
        <f>_xlfn.XLOOKUP(P45,[2]Master_Product_Catalog!$A$2:$A$16,[2]Master_Product_Catalog!$E$2:$E$16,"Nothing")</f>
        <v>220000</v>
      </c>
      <c r="V45" s="6">
        <f>_xlfn.XLOOKUP(P45,[2]Master_Product_Catalog!$A$2:$A$16,[2]Master_Product_Catalog!$F$2:$F$16,"Nothing")</f>
        <v>110000</v>
      </c>
      <c r="W45" s="1" t="str">
        <f>_xlfn.XLOOKUP(P45,[2]Master_Product_Catalog!$A$2:$A$16,[2]Master_Product_Catalog!$G$2:$G$16,"Nothing")</f>
        <v>0.15</v>
      </c>
      <c r="X45" s="1" t="str">
        <f>_xlfn.XLOOKUP(M45,[1]Master_Customer_Profile!$A$2:$A$11,[1]Master_Customer_Profile!$D$2:$D$11)</f>
        <v>Jawa Timur</v>
      </c>
      <c r="Y45" s="1" t="str">
        <f>_xlfn.XLOOKUP(M45,[1]Master_Customer_Profile!$A$2:$A$11,[1]Master_Customer_Profile!$G$2:$G$11)</f>
        <v>Silver</v>
      </c>
      <c r="Z45" s="1" t="str">
        <f>_xlfn.XLOOKUP(G45,[3]Master_SLA_Shipping!$A$2:$A$7,[3]Master_SLA_Shipping!$B$2:$B$7)</f>
        <v>J&amp;T Express</v>
      </c>
      <c r="AA45" s="1" t="str">
        <f>_xlfn.XLOOKUP(G45,[3]Master_SLA_Shipping!$A$2:$A$7,[3]Master_SLA_Shipping!$C$2:$C$7)</f>
        <v>Express</v>
      </c>
      <c r="AB45" s="1">
        <f>_xlfn.XLOOKUP(G45,[3]Master_SLA_Shipping!$A$2:$A$7,[3]Master_SLA_Shipping!$D$2:$D$7)</f>
        <v>2</v>
      </c>
      <c r="AC45" s="7">
        <f>_xlfn.XLOOKUP(G45,[3]Master_SLA_Shipping!$A$2:$A$7,[3]Master_SLA_Shipping!$E$2:$E$7)</f>
        <v>15000</v>
      </c>
      <c r="AD45" s="1" t="e">
        <v>#N/A</v>
      </c>
    </row>
    <row r="46" spans="1:30" x14ac:dyDescent="0.25">
      <c r="A46" s="1" t="s">
        <v>130</v>
      </c>
      <c r="B46" s="2">
        <v>45381</v>
      </c>
      <c r="C46" s="1" t="s">
        <v>29</v>
      </c>
      <c r="D46" s="1" t="s">
        <v>131</v>
      </c>
      <c r="E46" s="1">
        <v>2</v>
      </c>
      <c r="F46" s="1" t="s">
        <v>73</v>
      </c>
      <c r="G46" s="1" t="s">
        <v>37</v>
      </c>
      <c r="H46" s="2">
        <v>45383</v>
      </c>
      <c r="I46" s="2">
        <v>45388</v>
      </c>
      <c r="J46" s="1" t="s">
        <v>25</v>
      </c>
      <c r="K46" s="1" t="s">
        <v>48</v>
      </c>
      <c r="L46" s="1" t="s">
        <v>39</v>
      </c>
      <c r="M46" s="1" t="str">
        <f t="shared" si="0"/>
        <v>CUST-005</v>
      </c>
      <c r="N46" s="1" t="str">
        <f>TRIM(PROPER(VLOOKUP(M46,[1]Master_Customer_Profile!$A$2:$B$11,2,0)))</f>
        <v>Hendra Wijaya</v>
      </c>
      <c r="O46" s="4" t="str">
        <f>SUBSTITUTE(SUBSTITUTE(SUBSTITUTE(TRIM(VLOOKUP(M46,[1]Master_Customer_Profile!$A$2:$C$11,3,0)),"+",""),"62","")," ","")</f>
        <v>8189876543</v>
      </c>
      <c r="P46" s="1" t="str">
        <f t="shared" si="1"/>
        <v>PRD-ELEC-004</v>
      </c>
      <c r="Q46" s="1" t="str">
        <f t="shared" si="2"/>
        <v>JNE-REG-TRX-2024-0045-PRD-ELEC-004</v>
      </c>
      <c r="R46" s="1" t="str">
        <f>_xlfn.XLOOKUP(P46,[2]Master_Product_Catalog!$A$2:$A$16,[2]Master_Product_Catalog!$B$2:$B$16,"",3,1)</f>
        <v>Ergonomic Wireless Mouse</v>
      </c>
      <c r="S46" s="1" t="str">
        <f>_xlfn.XLOOKUP(P46,[2]Master_Product_Catalog!$A$2:$A$16,[2]Master_Product_Catalog!$C$2:$C$16,"Nothing")</f>
        <v>Electronics</v>
      </c>
      <c r="T46" s="1" t="str">
        <f>_xlfn.XLOOKUP(P46,[2]Master_Product_Catalog!$A$2:$A$16,[2]Master_Product_Catalog!$D$2:$D$16,"Nothing")</f>
        <v>Computer Accessories</v>
      </c>
      <c r="U46" s="5">
        <f>_xlfn.XLOOKUP(P46,[2]Master_Product_Catalog!$A$2:$A$16,[2]Master_Product_Catalog!$E$2:$E$16,"Nothing")</f>
        <v>350000</v>
      </c>
      <c r="V46" s="6">
        <f>_xlfn.XLOOKUP(P46,[2]Master_Product_Catalog!$A$2:$A$16,[2]Master_Product_Catalog!$F$2:$F$16,"Nothing")</f>
        <v>200000</v>
      </c>
      <c r="W46" s="1" t="str">
        <f>_xlfn.XLOOKUP(P46,[2]Master_Product_Catalog!$A$2:$A$16,[2]Master_Product_Catalog!$G$2:$G$16,"Nothing")</f>
        <v>0.25</v>
      </c>
      <c r="X46" s="1" t="str">
        <f>_xlfn.XLOOKUP(M46,[1]Master_Customer_Profile!$A$2:$A$11,[1]Master_Customer_Profile!$D$2:$D$11)</f>
        <v>DKI Jakarta</v>
      </c>
      <c r="Y46" s="1" t="str">
        <f>_xlfn.XLOOKUP(M46,[1]Master_Customer_Profile!$A$2:$A$11,[1]Master_Customer_Profile!$G$2:$G$11)</f>
        <v>Gold</v>
      </c>
      <c r="Z46" s="1" t="str">
        <f>_xlfn.XLOOKUP(G46,[3]Master_SLA_Shipping!$A$2:$A$7,[3]Master_SLA_Shipping!$B$2:$B$7)</f>
        <v>JNE</v>
      </c>
      <c r="AA46" s="1" t="str">
        <f>_xlfn.XLOOKUP(G46,[3]Master_SLA_Shipping!$A$2:$A$7,[3]Master_SLA_Shipping!$C$2:$C$7)</f>
        <v>Regular</v>
      </c>
      <c r="AB46" s="1">
        <f>_xlfn.XLOOKUP(G46,[3]Master_SLA_Shipping!$A$2:$A$7,[3]Master_SLA_Shipping!$D$2:$D$7)</f>
        <v>3</v>
      </c>
      <c r="AC46" s="7">
        <f>_xlfn.XLOOKUP(G46,[3]Master_SLA_Shipping!$A$2:$A$7,[3]Master_SLA_Shipping!$E$2:$E$7)</f>
        <v>12000</v>
      </c>
      <c r="AD46" s="1" t="e">
        <v>#N/A</v>
      </c>
    </row>
    <row r="47" spans="1:30" x14ac:dyDescent="0.25">
      <c r="A47" s="1" t="s">
        <v>132</v>
      </c>
      <c r="B47" s="2">
        <v>45383</v>
      </c>
      <c r="C47" s="1" t="s">
        <v>133</v>
      </c>
      <c r="D47" s="1" t="s">
        <v>57</v>
      </c>
      <c r="E47" s="1">
        <v>4</v>
      </c>
      <c r="F47" s="1" t="s">
        <v>47</v>
      </c>
      <c r="G47" s="1" t="s">
        <v>54</v>
      </c>
      <c r="H47" s="2">
        <v>45385</v>
      </c>
      <c r="I47" s="2">
        <v>45387</v>
      </c>
      <c r="J47" s="1" t="s">
        <v>31</v>
      </c>
      <c r="K47" s="1" t="s">
        <v>48</v>
      </c>
      <c r="L47" s="1" t="s">
        <v>27</v>
      </c>
      <c r="M47" s="1" t="str">
        <f t="shared" si="0"/>
        <v>CUST-010</v>
      </c>
      <c r="N47" s="1" t="str">
        <f>TRIM(PROPER(VLOOKUP(M47,[1]Master_Customer_Profile!$A$2:$B$11,2,0)))</f>
        <v>Valentina Rosi</v>
      </c>
      <c r="O47" s="4" t="str">
        <f>SUBSTITUTE(SUBSTITUTE(SUBSTITUTE(TRIM(VLOOKUP(M47,[1]Master_Customer_Profile!$A$2:$C$11,3,0)),"+",""),"62","")," ","")</f>
        <v>81377665544</v>
      </c>
      <c r="P47" s="1" t="str">
        <f t="shared" si="1"/>
        <v>PRD-ELEC-004</v>
      </c>
      <c r="Q47" s="1" t="str">
        <f t="shared" si="2"/>
        <v>JNT-EXP-TRX-2024-0046-PRD-ELEC-004</v>
      </c>
      <c r="R47" s="1" t="str">
        <f>_xlfn.XLOOKUP(P47,[2]Master_Product_Catalog!$A$2:$A$16,[2]Master_Product_Catalog!$B$2:$B$16,"",3,1)</f>
        <v>Ergonomic Wireless Mouse</v>
      </c>
      <c r="S47" s="1" t="str">
        <f>_xlfn.XLOOKUP(P47,[2]Master_Product_Catalog!$A$2:$A$16,[2]Master_Product_Catalog!$C$2:$C$16,"Nothing")</f>
        <v>Electronics</v>
      </c>
      <c r="T47" s="1" t="str">
        <f>_xlfn.XLOOKUP(P47,[2]Master_Product_Catalog!$A$2:$A$16,[2]Master_Product_Catalog!$D$2:$D$16,"Nothing")</f>
        <v>Computer Accessories</v>
      </c>
      <c r="U47" s="5">
        <f>_xlfn.XLOOKUP(P47,[2]Master_Product_Catalog!$A$2:$A$16,[2]Master_Product_Catalog!$E$2:$E$16,"Nothing")</f>
        <v>350000</v>
      </c>
      <c r="V47" s="6">
        <f>_xlfn.XLOOKUP(P47,[2]Master_Product_Catalog!$A$2:$A$16,[2]Master_Product_Catalog!$F$2:$F$16,"Nothing")</f>
        <v>200000</v>
      </c>
      <c r="W47" s="1" t="str">
        <f>_xlfn.XLOOKUP(P47,[2]Master_Product_Catalog!$A$2:$A$16,[2]Master_Product_Catalog!$G$2:$G$16,"Nothing")</f>
        <v>0.25</v>
      </c>
      <c r="X47" s="1" t="str">
        <f>_xlfn.XLOOKUP(M47,[1]Master_Customer_Profile!$A$2:$A$11,[1]Master_Customer_Profile!$D$2:$D$11)</f>
        <v>Bali</v>
      </c>
      <c r="Y47" s="1" t="str">
        <f>_xlfn.XLOOKUP(M47,[1]Master_Customer_Profile!$A$2:$A$11,[1]Master_Customer_Profile!$G$2:$G$11)</f>
        <v>VIP</v>
      </c>
      <c r="Z47" s="1" t="str">
        <f>_xlfn.XLOOKUP(G47,[3]Master_SLA_Shipping!$A$2:$A$7,[3]Master_SLA_Shipping!$B$2:$B$7)</f>
        <v>J&amp;T Express</v>
      </c>
      <c r="AA47" s="1" t="str">
        <f>_xlfn.XLOOKUP(G47,[3]Master_SLA_Shipping!$A$2:$A$7,[3]Master_SLA_Shipping!$C$2:$C$7)</f>
        <v>Express</v>
      </c>
      <c r="AB47" s="1">
        <f>_xlfn.XLOOKUP(G47,[3]Master_SLA_Shipping!$A$2:$A$7,[3]Master_SLA_Shipping!$D$2:$D$7)</f>
        <v>2</v>
      </c>
      <c r="AC47" s="7">
        <f>_xlfn.XLOOKUP(G47,[3]Master_SLA_Shipping!$A$2:$A$7,[3]Master_SLA_Shipping!$E$2:$E$7)</f>
        <v>15000</v>
      </c>
      <c r="AD47" s="1" t="e">
        <v>#N/A</v>
      </c>
    </row>
    <row r="48" spans="1:30" x14ac:dyDescent="0.25">
      <c r="A48" s="1" t="s">
        <v>134</v>
      </c>
      <c r="B48" s="2">
        <v>45386</v>
      </c>
      <c r="C48" s="1" t="s">
        <v>135</v>
      </c>
      <c r="D48" s="1" t="s">
        <v>136</v>
      </c>
      <c r="E48" s="1">
        <v>4</v>
      </c>
      <c r="F48" s="1" t="s">
        <v>73</v>
      </c>
      <c r="G48" s="1" t="s">
        <v>24</v>
      </c>
      <c r="H48" s="2">
        <v>45388</v>
      </c>
      <c r="I48" s="2">
        <v>45393</v>
      </c>
      <c r="J48" s="1" t="s">
        <v>70</v>
      </c>
      <c r="K48" s="1" t="s">
        <v>48</v>
      </c>
      <c r="L48" s="1" t="s">
        <v>43</v>
      </c>
      <c r="M48" s="1" t="str">
        <f t="shared" si="0"/>
        <v>CUST-003</v>
      </c>
      <c r="N48" s="1" t="str">
        <f>TRIM(PROPER(VLOOKUP(M48,[1]Master_Customer_Profile!$A$2:$B$11,2,0)))</f>
        <v>Budi Santoso</v>
      </c>
      <c r="O48" s="4" t="str">
        <f>SUBSTITUTE(SUBSTITUTE(SUBSTITUTE(TRIM(VLOOKUP(M48,[1]Master_Customer_Profile!$A$2:$C$11,3,0)),"+",""),"62","")," ","")</f>
        <v>85611223344</v>
      </c>
      <c r="P48" s="1" t="str">
        <f t="shared" si="1"/>
        <v>PRD-BEAU-001</v>
      </c>
      <c r="Q48" s="1" t="str">
        <f t="shared" si="2"/>
        <v>JNT-REG-TRX-2024-0047-PRD-BEAU-001</v>
      </c>
      <c r="R48" s="1" t="str">
        <f>_xlfn.XLOOKUP(P48,[2]Master_Product_Catalog!$A$2:$A$16,[2]Master_Product_Catalog!$B$2:$B$16,"",3,1)</f>
        <v>Hydrating Serum Vitamin C 50ml</v>
      </c>
      <c r="S48" s="1" t="str">
        <f>_xlfn.XLOOKUP(P48,[2]Master_Product_Catalog!$A$2:$A$16,[2]Master_Product_Catalog!$C$2:$C$16,"Nothing")</f>
        <v>Beauty &amp; Health</v>
      </c>
      <c r="T48" s="1" t="str">
        <f>_xlfn.XLOOKUP(P48,[2]Master_Product_Catalog!$A$2:$A$16,[2]Master_Product_Catalog!$D$2:$D$16,"Nothing")</f>
        <v>Skincare</v>
      </c>
      <c r="U48" s="5">
        <f>_xlfn.XLOOKUP(P48,[2]Master_Product_Catalog!$A$2:$A$16,[2]Master_Product_Catalog!$E$2:$E$16,"Nothing")</f>
        <v>185000</v>
      </c>
      <c r="V48" s="6">
        <f>_xlfn.XLOOKUP(P48,[2]Master_Product_Catalog!$A$2:$A$16,[2]Master_Product_Catalog!$F$2:$F$16,"Nothing")</f>
        <v>85000</v>
      </c>
      <c r="W48" s="1" t="str">
        <f>_xlfn.XLOOKUP(P48,[2]Master_Product_Catalog!$A$2:$A$16,[2]Master_Product_Catalog!$G$2:$G$16,"Nothing")</f>
        <v>0.1</v>
      </c>
      <c r="X48" s="1" t="str">
        <f>_xlfn.XLOOKUP(M48,[1]Master_Customer_Profile!$A$2:$A$11,[1]Master_Customer_Profile!$D$2:$D$11)</f>
        <v>Jawa Tengah</v>
      </c>
      <c r="Y48" s="1" t="str">
        <f>_xlfn.XLOOKUP(M48,[1]Master_Customer_Profile!$A$2:$A$11,[1]Master_Customer_Profile!$G$2:$G$11)</f>
        <v>Platinum</v>
      </c>
      <c r="Z48" s="1" t="str">
        <f>_xlfn.XLOOKUP(G48,[3]Master_SLA_Shipping!$A$2:$A$7,[3]Master_SLA_Shipping!$B$2:$B$7)</f>
        <v>J&amp;T Express</v>
      </c>
      <c r="AA48" s="1" t="str">
        <f>_xlfn.XLOOKUP(G48,[3]Master_SLA_Shipping!$A$2:$A$7,[3]Master_SLA_Shipping!$C$2:$C$7)</f>
        <v>Regular</v>
      </c>
      <c r="AB48" s="1">
        <f>_xlfn.XLOOKUP(G48,[3]Master_SLA_Shipping!$A$2:$A$7,[3]Master_SLA_Shipping!$D$2:$D$7)</f>
        <v>4</v>
      </c>
      <c r="AC48" s="7">
        <f>_xlfn.XLOOKUP(G48,[3]Master_SLA_Shipping!$A$2:$A$7,[3]Master_SLA_Shipping!$E$2:$E$7)</f>
        <v>10000</v>
      </c>
      <c r="AD48" s="1" t="e">
        <v>#N/A</v>
      </c>
    </row>
    <row r="49" spans="1:30" x14ac:dyDescent="0.25">
      <c r="A49" s="1" t="s">
        <v>137</v>
      </c>
      <c r="B49" s="2">
        <v>45388</v>
      </c>
      <c r="C49" s="1" t="s">
        <v>99</v>
      </c>
      <c r="D49" s="1" t="s">
        <v>96</v>
      </c>
      <c r="E49" s="1">
        <v>4</v>
      </c>
      <c r="F49" s="1" t="s">
        <v>23</v>
      </c>
      <c r="G49" s="1" t="s">
        <v>24</v>
      </c>
      <c r="H49" s="2">
        <v>45390</v>
      </c>
      <c r="I49" s="2">
        <v>45393</v>
      </c>
      <c r="J49" s="1" t="s">
        <v>70</v>
      </c>
      <c r="K49" s="1" t="s">
        <v>62</v>
      </c>
      <c r="L49" s="1" t="s">
        <v>19</v>
      </c>
      <c r="M49" s="1" t="str">
        <f t="shared" si="0"/>
        <v>CUST-009</v>
      </c>
      <c r="N49" s="1" t="str">
        <f>TRIM(PROPER(VLOOKUP(M49,[1]Master_Customer_Profile!$A$2:$B$11,2,0)))</f>
        <v>Rizky Hidayat</v>
      </c>
      <c r="O49" s="4" t="str">
        <f>SUBSTITUTE(SUBSTITUTE(SUBSTITUTE(TRIM(VLOOKUP(M49,[1]Master_Customer_Profile!$A$2:$C$11,3,0)),"+",""),"62","")," ","")</f>
        <v>81933221100</v>
      </c>
      <c r="P49" s="1" t="str">
        <f t="shared" si="1"/>
        <v>PRD-FASH-004</v>
      </c>
      <c r="Q49" s="1" t="str">
        <f t="shared" si="2"/>
        <v>JNT-REG-TRX-2024-0048-PRD-FASH-004</v>
      </c>
      <c r="R49" s="1" t="str">
        <f>_xlfn.XLOOKUP(P49,[2]Master_Product_Catalog!$A$2:$A$16,[2]Master_Product_Catalog!$B$2:$B$16,"",3,1)</f>
        <v>Leather Minimalist Wallet</v>
      </c>
      <c r="S49" s="1" t="str">
        <f>_xlfn.XLOOKUP(P49,[2]Master_Product_Catalog!$A$2:$A$16,[2]Master_Product_Catalog!$C$2:$C$16,"Nothing")</f>
        <v>Fashion</v>
      </c>
      <c r="T49" s="1" t="str">
        <f>_xlfn.XLOOKUP(P49,[2]Master_Product_Catalog!$A$2:$A$16,[2]Master_Product_Catalog!$D$2:$D$16,"Nothing")</f>
        <v>Accessories</v>
      </c>
      <c r="U49" s="5">
        <f>_xlfn.XLOOKUP(P49,[2]Master_Product_Catalog!$A$2:$A$16,[2]Master_Product_Catalog!$E$2:$E$16,"Nothing")</f>
        <v>220000</v>
      </c>
      <c r="V49" s="6">
        <f>_xlfn.XLOOKUP(P49,[2]Master_Product_Catalog!$A$2:$A$16,[2]Master_Product_Catalog!$F$2:$F$16,"Nothing")</f>
        <v>110000</v>
      </c>
      <c r="W49" s="1" t="str">
        <f>_xlfn.XLOOKUP(P49,[2]Master_Product_Catalog!$A$2:$A$16,[2]Master_Product_Catalog!$G$2:$G$16,"Nothing")</f>
        <v>0.15</v>
      </c>
      <c r="X49" s="1" t="str">
        <f>_xlfn.XLOOKUP(M49,[1]Master_Customer_Profile!$A$2:$A$11,[1]Master_Customer_Profile!$D$2:$D$11)</f>
        <v>Sulawesi Selatan</v>
      </c>
      <c r="Y49" s="1" t="str">
        <f>_xlfn.XLOOKUP(M49,[1]Master_Customer_Profile!$A$2:$A$11,[1]Master_Customer_Profile!$G$2:$G$11)</f>
        <v>Silver</v>
      </c>
      <c r="Z49" s="1" t="str">
        <f>_xlfn.XLOOKUP(G49,[3]Master_SLA_Shipping!$A$2:$A$7,[3]Master_SLA_Shipping!$B$2:$B$7)</f>
        <v>J&amp;T Express</v>
      </c>
      <c r="AA49" s="1" t="str">
        <f>_xlfn.XLOOKUP(G49,[3]Master_SLA_Shipping!$A$2:$A$7,[3]Master_SLA_Shipping!$C$2:$C$7)</f>
        <v>Regular</v>
      </c>
      <c r="AB49" s="1">
        <f>_xlfn.XLOOKUP(G49,[3]Master_SLA_Shipping!$A$2:$A$7,[3]Master_SLA_Shipping!$D$2:$D$7)</f>
        <v>4</v>
      </c>
      <c r="AC49" s="7">
        <f>_xlfn.XLOOKUP(G49,[3]Master_SLA_Shipping!$A$2:$A$7,[3]Master_SLA_Shipping!$E$2:$E$7)</f>
        <v>10000</v>
      </c>
      <c r="AD49" s="1" t="e">
        <v>#N/A</v>
      </c>
    </row>
    <row r="50" spans="1:30" x14ac:dyDescent="0.25">
      <c r="A50" s="1" t="s">
        <v>138</v>
      </c>
      <c r="B50" s="2">
        <v>45390</v>
      </c>
      <c r="C50" s="1" t="s">
        <v>29</v>
      </c>
      <c r="D50" s="1" t="s">
        <v>139</v>
      </c>
      <c r="E50" s="1">
        <v>3</v>
      </c>
      <c r="F50" s="1" t="s">
        <v>23</v>
      </c>
      <c r="G50" s="1" t="s">
        <v>37</v>
      </c>
      <c r="H50" s="2">
        <v>45391</v>
      </c>
      <c r="I50" s="2">
        <v>45396</v>
      </c>
      <c r="J50" s="1" t="s">
        <v>70</v>
      </c>
      <c r="K50" s="1" t="s">
        <v>62</v>
      </c>
      <c r="L50" s="1" t="s">
        <v>27</v>
      </c>
      <c r="M50" s="1" t="str">
        <f t="shared" si="0"/>
        <v>CUST-005</v>
      </c>
      <c r="N50" s="1" t="str">
        <f>TRIM(PROPER(VLOOKUP(M50,[1]Master_Customer_Profile!$A$2:$B$11,2,0)))</f>
        <v>Hendra Wijaya</v>
      </c>
      <c r="O50" s="4" t="str">
        <f>SUBSTITUTE(SUBSTITUTE(SUBSTITUTE(TRIM(VLOOKUP(M50,[1]Master_Customer_Profile!$A$2:$C$11,3,0)),"+",""),"62","")," ","")</f>
        <v>8189876543</v>
      </c>
      <c r="P50" s="1" t="str">
        <f t="shared" si="1"/>
        <v>PRD-BEAU-001</v>
      </c>
      <c r="Q50" s="1" t="str">
        <f t="shared" si="2"/>
        <v>JNE-REG-TRX-2024-0049-PRD-BEAU-001</v>
      </c>
      <c r="R50" s="1" t="str">
        <f>_xlfn.XLOOKUP(P50,[2]Master_Product_Catalog!$A$2:$A$16,[2]Master_Product_Catalog!$B$2:$B$16,"",3,1)</f>
        <v>Hydrating Serum Vitamin C 50ml</v>
      </c>
      <c r="S50" s="1" t="str">
        <f>_xlfn.XLOOKUP(P50,[2]Master_Product_Catalog!$A$2:$A$16,[2]Master_Product_Catalog!$C$2:$C$16,"Nothing")</f>
        <v>Beauty &amp; Health</v>
      </c>
      <c r="T50" s="1" t="str">
        <f>_xlfn.XLOOKUP(P50,[2]Master_Product_Catalog!$A$2:$A$16,[2]Master_Product_Catalog!$D$2:$D$16,"Nothing")</f>
        <v>Skincare</v>
      </c>
      <c r="U50" s="5">
        <f>_xlfn.XLOOKUP(P50,[2]Master_Product_Catalog!$A$2:$A$16,[2]Master_Product_Catalog!$E$2:$E$16,"Nothing")</f>
        <v>185000</v>
      </c>
      <c r="V50" s="6">
        <f>_xlfn.XLOOKUP(P50,[2]Master_Product_Catalog!$A$2:$A$16,[2]Master_Product_Catalog!$F$2:$F$16,"Nothing")</f>
        <v>85000</v>
      </c>
      <c r="W50" s="1" t="str">
        <f>_xlfn.XLOOKUP(P50,[2]Master_Product_Catalog!$A$2:$A$16,[2]Master_Product_Catalog!$G$2:$G$16,"Nothing")</f>
        <v>0.1</v>
      </c>
      <c r="X50" s="1" t="str">
        <f>_xlfn.XLOOKUP(M50,[1]Master_Customer_Profile!$A$2:$A$11,[1]Master_Customer_Profile!$D$2:$D$11)</f>
        <v>DKI Jakarta</v>
      </c>
      <c r="Y50" s="1" t="str">
        <f>_xlfn.XLOOKUP(M50,[1]Master_Customer_Profile!$A$2:$A$11,[1]Master_Customer_Profile!$G$2:$G$11)</f>
        <v>Gold</v>
      </c>
      <c r="Z50" s="1" t="str">
        <f>_xlfn.XLOOKUP(G50,[3]Master_SLA_Shipping!$A$2:$A$7,[3]Master_SLA_Shipping!$B$2:$B$7)</f>
        <v>JNE</v>
      </c>
      <c r="AA50" s="1" t="str">
        <f>_xlfn.XLOOKUP(G50,[3]Master_SLA_Shipping!$A$2:$A$7,[3]Master_SLA_Shipping!$C$2:$C$7)</f>
        <v>Regular</v>
      </c>
      <c r="AB50" s="1">
        <f>_xlfn.XLOOKUP(G50,[3]Master_SLA_Shipping!$A$2:$A$7,[3]Master_SLA_Shipping!$D$2:$D$7)</f>
        <v>3</v>
      </c>
      <c r="AC50" s="7">
        <f>_xlfn.XLOOKUP(G50,[3]Master_SLA_Shipping!$A$2:$A$7,[3]Master_SLA_Shipping!$E$2:$E$7)</f>
        <v>12000</v>
      </c>
      <c r="AD50" s="1" t="e">
        <v>#N/A</v>
      </c>
    </row>
    <row r="51" spans="1:30" x14ac:dyDescent="0.25">
      <c r="A51" s="1" t="s">
        <v>140</v>
      </c>
      <c r="B51" s="2">
        <v>45391</v>
      </c>
      <c r="C51" s="1" t="s">
        <v>29</v>
      </c>
      <c r="D51" s="1" t="s">
        <v>141</v>
      </c>
      <c r="E51" s="1">
        <v>3</v>
      </c>
      <c r="F51" s="1" t="s">
        <v>23</v>
      </c>
      <c r="G51" s="1" t="s">
        <v>37</v>
      </c>
      <c r="H51" s="2">
        <v>45392</v>
      </c>
      <c r="I51" s="2">
        <v>45397</v>
      </c>
      <c r="J51" s="1" t="s">
        <v>25</v>
      </c>
      <c r="K51" s="1" t="s">
        <v>48</v>
      </c>
      <c r="L51" s="1" t="s">
        <v>27</v>
      </c>
      <c r="M51" s="1" t="str">
        <f t="shared" si="0"/>
        <v>CUST-005</v>
      </c>
      <c r="N51" s="1" t="str">
        <f>TRIM(PROPER(VLOOKUP(M51,[1]Master_Customer_Profile!$A$2:$B$11,2,0)))</f>
        <v>Hendra Wijaya</v>
      </c>
      <c r="O51" s="4" t="str">
        <f>SUBSTITUTE(SUBSTITUTE(SUBSTITUTE(TRIM(VLOOKUP(M51,[1]Master_Customer_Profile!$A$2:$C$11,3,0)),"+",""),"62","")," ","")</f>
        <v>8189876543</v>
      </c>
      <c r="P51" s="1" t="str">
        <f t="shared" si="1"/>
        <v>PRD-ELEC-004</v>
      </c>
      <c r="Q51" s="1" t="str">
        <f t="shared" si="2"/>
        <v>JNE-REG-TRX-2024-0050-PRD-ELEC-004</v>
      </c>
      <c r="R51" s="1" t="str">
        <f>_xlfn.XLOOKUP(P51,[2]Master_Product_Catalog!$A$2:$A$16,[2]Master_Product_Catalog!$B$2:$B$16,"",3,1)</f>
        <v>Ergonomic Wireless Mouse</v>
      </c>
      <c r="S51" s="1" t="str">
        <f>_xlfn.XLOOKUP(P51,[2]Master_Product_Catalog!$A$2:$A$16,[2]Master_Product_Catalog!$C$2:$C$16,"Nothing")</f>
        <v>Electronics</v>
      </c>
      <c r="T51" s="1" t="str">
        <f>_xlfn.XLOOKUP(P51,[2]Master_Product_Catalog!$A$2:$A$16,[2]Master_Product_Catalog!$D$2:$D$16,"Nothing")</f>
        <v>Computer Accessories</v>
      </c>
      <c r="U51" s="5">
        <f>_xlfn.XLOOKUP(P51,[2]Master_Product_Catalog!$A$2:$A$16,[2]Master_Product_Catalog!$E$2:$E$16,"Nothing")</f>
        <v>350000</v>
      </c>
      <c r="V51" s="6">
        <f>_xlfn.XLOOKUP(P51,[2]Master_Product_Catalog!$A$2:$A$16,[2]Master_Product_Catalog!$F$2:$F$16,"Nothing")</f>
        <v>200000</v>
      </c>
      <c r="W51" s="1" t="str">
        <f>_xlfn.XLOOKUP(P51,[2]Master_Product_Catalog!$A$2:$A$16,[2]Master_Product_Catalog!$G$2:$G$16,"Nothing")</f>
        <v>0.25</v>
      </c>
      <c r="X51" s="1" t="str">
        <f>_xlfn.XLOOKUP(M51,[1]Master_Customer_Profile!$A$2:$A$11,[1]Master_Customer_Profile!$D$2:$D$11)</f>
        <v>DKI Jakarta</v>
      </c>
      <c r="Y51" s="1" t="str">
        <f>_xlfn.XLOOKUP(M51,[1]Master_Customer_Profile!$A$2:$A$11,[1]Master_Customer_Profile!$G$2:$G$11)</f>
        <v>Gold</v>
      </c>
      <c r="Z51" s="1" t="str">
        <f>_xlfn.XLOOKUP(G51,[3]Master_SLA_Shipping!$A$2:$A$7,[3]Master_SLA_Shipping!$B$2:$B$7)</f>
        <v>JNE</v>
      </c>
      <c r="AA51" s="1" t="str">
        <f>_xlfn.XLOOKUP(G51,[3]Master_SLA_Shipping!$A$2:$A$7,[3]Master_SLA_Shipping!$C$2:$C$7)</f>
        <v>Regular</v>
      </c>
      <c r="AB51" s="1">
        <f>_xlfn.XLOOKUP(G51,[3]Master_SLA_Shipping!$A$2:$A$7,[3]Master_SLA_Shipping!$D$2:$D$7)</f>
        <v>3</v>
      </c>
      <c r="AC51" s="7">
        <f>_xlfn.XLOOKUP(G51,[3]Master_SLA_Shipping!$A$2:$A$7,[3]Master_SLA_Shipping!$E$2:$E$7)</f>
        <v>12000</v>
      </c>
      <c r="AD51" s="1" t="e">
        <v>#N/A</v>
      </c>
    </row>
    <row r="52" spans="1:30" x14ac:dyDescent="0.25">
      <c r="A52" s="1" t="s">
        <v>142</v>
      </c>
      <c r="B52" s="2">
        <v>45393</v>
      </c>
      <c r="C52" s="1" t="s">
        <v>45</v>
      </c>
      <c r="D52" s="1" t="s">
        <v>143</v>
      </c>
      <c r="E52" s="1">
        <v>3</v>
      </c>
      <c r="F52" s="1" t="s">
        <v>23</v>
      </c>
      <c r="G52" s="1" t="s">
        <v>37</v>
      </c>
      <c r="H52" s="2">
        <v>45395</v>
      </c>
      <c r="I52" s="2">
        <v>45401</v>
      </c>
      <c r="J52" s="1" t="s">
        <v>31</v>
      </c>
      <c r="K52" s="1" t="s">
        <v>62</v>
      </c>
      <c r="L52" s="1" t="s">
        <v>43</v>
      </c>
      <c r="M52" s="1" t="str">
        <f t="shared" si="0"/>
        <v>CUST-004</v>
      </c>
      <c r="N52" s="1" t="str">
        <f>TRIM(PROPER(VLOOKUP(M52,[1]Master_Customer_Profile!$A$2:$B$11,2,0)))</f>
        <v>Dewi Lestari</v>
      </c>
      <c r="O52" s="4" t="str">
        <f>SUBSTITUTE(SUBSTITUTE(SUBSTITUTE(TRIM(VLOOKUP(M52,[1]Master_Customer_Profile!$A$2:$C$11,3,0)),"+",""),"62","")," ","")</f>
        <v>87855443322</v>
      </c>
      <c r="P52" s="1" t="str">
        <f t="shared" si="1"/>
        <v>PRD-ELEC-002</v>
      </c>
      <c r="Q52" s="1" t="str">
        <f t="shared" si="2"/>
        <v>JNE-REG-TRX-2024-0051-PRD-ELEC-002</v>
      </c>
      <c r="R52" s="1" t="str">
        <f>_xlfn.XLOOKUP(P52,[2]Master_Product_Catalog!$A$2:$A$16,[2]Master_Product_Catalog!$B$2:$B$16,"",3,1)</f>
        <v>Smart Watch Fitness Tracker V2</v>
      </c>
      <c r="S52" s="1" t="str">
        <f>_xlfn.XLOOKUP(P52,[2]Master_Product_Catalog!$A$2:$A$16,[2]Master_Product_Catalog!$C$2:$C$16,"Nothing")</f>
        <v>Electronics</v>
      </c>
      <c r="T52" s="1" t="str">
        <f>_xlfn.XLOOKUP(P52,[2]Master_Product_Catalog!$A$2:$A$16,[2]Master_Product_Catalog!$D$2:$D$16,"Nothing")</f>
        <v>Wearables</v>
      </c>
      <c r="U52" s="5">
        <f>_xlfn.XLOOKUP(P52,[2]Master_Product_Catalog!$A$2:$A$16,[2]Master_Product_Catalog!$E$2:$E$16,"Nothing")</f>
        <v>850000</v>
      </c>
      <c r="V52" s="6">
        <f>_xlfn.XLOOKUP(P52,[2]Master_Product_Catalog!$A$2:$A$16,[2]Master_Product_Catalog!$F$2:$F$16,"Nothing")</f>
        <v>520000</v>
      </c>
      <c r="W52" s="1" t="str">
        <f>_xlfn.XLOOKUP(P52,[2]Master_Product_Catalog!$A$2:$A$16,[2]Master_Product_Catalog!$G$2:$G$16,"Nothing")</f>
        <v>0.3</v>
      </c>
      <c r="X52" s="1" t="str">
        <f>_xlfn.XLOOKUP(M52,[1]Master_Customer_Profile!$A$2:$A$11,[1]Master_Customer_Profile!$D$2:$D$11)</f>
        <v>Jawa Timur</v>
      </c>
      <c r="Y52" s="1" t="str">
        <f>_xlfn.XLOOKUP(M52,[1]Master_Customer_Profile!$A$2:$A$11,[1]Master_Customer_Profile!$G$2:$G$11)</f>
        <v>Silver</v>
      </c>
      <c r="Z52" s="1" t="str">
        <f>_xlfn.XLOOKUP(G52,[3]Master_SLA_Shipping!$A$2:$A$7,[3]Master_SLA_Shipping!$B$2:$B$7)</f>
        <v>JNE</v>
      </c>
      <c r="AA52" s="1" t="str">
        <f>_xlfn.XLOOKUP(G52,[3]Master_SLA_Shipping!$A$2:$A$7,[3]Master_SLA_Shipping!$C$2:$C$7)</f>
        <v>Regular</v>
      </c>
      <c r="AB52" s="1">
        <f>_xlfn.XLOOKUP(G52,[3]Master_SLA_Shipping!$A$2:$A$7,[3]Master_SLA_Shipping!$D$2:$D$7)</f>
        <v>3</v>
      </c>
      <c r="AC52" s="7">
        <f>_xlfn.XLOOKUP(G52,[3]Master_SLA_Shipping!$A$2:$A$7,[3]Master_SLA_Shipping!$E$2:$E$7)</f>
        <v>12000</v>
      </c>
      <c r="AD52" s="1" t="e">
        <v>#N/A</v>
      </c>
    </row>
    <row r="53" spans="1:30" x14ac:dyDescent="0.25">
      <c r="A53" s="1" t="s">
        <v>144</v>
      </c>
      <c r="B53" s="2">
        <v>45396</v>
      </c>
      <c r="C53" s="1" t="s">
        <v>82</v>
      </c>
      <c r="D53" s="1" t="s">
        <v>145</v>
      </c>
      <c r="E53" s="1">
        <v>4</v>
      </c>
      <c r="F53" s="1" t="s">
        <v>47</v>
      </c>
      <c r="G53" s="1" t="s">
        <v>37</v>
      </c>
      <c r="H53" s="2">
        <v>45399</v>
      </c>
      <c r="I53" s="2">
        <v>45404</v>
      </c>
      <c r="J53" s="1" t="s">
        <v>25</v>
      </c>
      <c r="K53" s="1" t="s">
        <v>32</v>
      </c>
      <c r="L53" s="1" t="s">
        <v>33</v>
      </c>
      <c r="M53" s="1" t="str">
        <f t="shared" si="0"/>
        <v>CUST-010</v>
      </c>
      <c r="N53" s="1" t="str">
        <f>TRIM(PROPER(VLOOKUP(M53,[1]Master_Customer_Profile!$A$2:$B$11,2,0)))</f>
        <v>Valentina Rosi</v>
      </c>
      <c r="O53" s="4" t="str">
        <f>SUBSTITUTE(SUBSTITUTE(SUBSTITUTE(TRIM(VLOOKUP(M53,[1]Master_Customer_Profile!$A$2:$C$11,3,0)),"+",""),"62","")," ","")</f>
        <v>81377665544</v>
      </c>
      <c r="P53" s="1" t="str">
        <f t="shared" si="1"/>
        <v>PRD-HOME-003</v>
      </c>
      <c r="Q53" s="1" t="str">
        <f t="shared" si="2"/>
        <v>JNE-REG-TRX-2024-0052-PRD-HOME-003</v>
      </c>
      <c r="R53" s="1" t="str">
        <f>_xlfn.XLOOKUP(P53,[2]Master_Product_Catalog!$A$2:$A$16,[2]Master_Product_Catalog!$B$2:$B$16,"",3,1)</f>
        <v>Stainless Steel Cookware Set 5pcs</v>
      </c>
      <c r="S53" s="1" t="str">
        <f>_xlfn.XLOOKUP(P53,[2]Master_Product_Catalog!$A$2:$A$16,[2]Master_Product_Catalog!$C$2:$C$16,"Nothing")</f>
        <v>Home &amp; Living</v>
      </c>
      <c r="T53" s="1" t="str">
        <f>_xlfn.XLOOKUP(P53,[2]Master_Product_Catalog!$A$2:$A$16,[2]Master_Product_Catalog!$D$2:$D$16,"Nothing")</f>
        <v>Kitchenware</v>
      </c>
      <c r="U53" s="5">
        <f>_xlfn.XLOOKUP(P53,[2]Master_Product_Catalog!$A$2:$A$16,[2]Master_Product_Catalog!$E$2:$E$16,"Nothing")</f>
        <v>880000</v>
      </c>
      <c r="V53" s="6">
        <f>_xlfn.XLOOKUP(P53,[2]Master_Product_Catalog!$A$2:$A$16,[2]Master_Product_Catalog!$F$2:$F$16,"Nothing")</f>
        <v>540000</v>
      </c>
      <c r="W53" s="1" t="str">
        <f>_xlfn.XLOOKUP(P53,[2]Master_Product_Catalog!$A$2:$A$16,[2]Master_Product_Catalog!$G$2:$G$16,"Nothing")</f>
        <v>3.8</v>
      </c>
      <c r="X53" s="1" t="str">
        <f>_xlfn.XLOOKUP(M53,[1]Master_Customer_Profile!$A$2:$A$11,[1]Master_Customer_Profile!$D$2:$D$11)</f>
        <v>Bali</v>
      </c>
      <c r="Y53" s="1" t="str">
        <f>_xlfn.XLOOKUP(M53,[1]Master_Customer_Profile!$A$2:$A$11,[1]Master_Customer_Profile!$G$2:$G$11)</f>
        <v>VIP</v>
      </c>
      <c r="Z53" s="1" t="str">
        <f>_xlfn.XLOOKUP(G53,[3]Master_SLA_Shipping!$A$2:$A$7,[3]Master_SLA_Shipping!$B$2:$B$7)</f>
        <v>JNE</v>
      </c>
      <c r="AA53" s="1" t="str">
        <f>_xlfn.XLOOKUP(G53,[3]Master_SLA_Shipping!$A$2:$A$7,[3]Master_SLA_Shipping!$C$2:$C$7)</f>
        <v>Regular</v>
      </c>
      <c r="AB53" s="1">
        <f>_xlfn.XLOOKUP(G53,[3]Master_SLA_Shipping!$A$2:$A$7,[3]Master_SLA_Shipping!$D$2:$D$7)</f>
        <v>3</v>
      </c>
      <c r="AC53" s="7">
        <f>_xlfn.XLOOKUP(G53,[3]Master_SLA_Shipping!$A$2:$A$7,[3]Master_SLA_Shipping!$E$2:$E$7)</f>
        <v>12000</v>
      </c>
      <c r="AD53" s="1" t="e">
        <v>#N/A</v>
      </c>
    </row>
    <row r="54" spans="1:30" x14ac:dyDescent="0.25">
      <c r="A54" s="1" t="s">
        <v>146</v>
      </c>
      <c r="B54" s="2">
        <v>45397</v>
      </c>
      <c r="C54" s="1" t="s">
        <v>147</v>
      </c>
      <c r="D54" s="1" t="s">
        <v>75</v>
      </c>
      <c r="E54" s="1">
        <v>4</v>
      </c>
      <c r="F54" s="1" t="s">
        <v>15</v>
      </c>
      <c r="G54" s="1" t="s">
        <v>37</v>
      </c>
      <c r="H54" s="2">
        <v>45398</v>
      </c>
      <c r="I54" s="2">
        <v>45403</v>
      </c>
      <c r="J54" s="1" t="s">
        <v>38</v>
      </c>
      <c r="K54" s="1" t="s">
        <v>62</v>
      </c>
      <c r="L54" s="1" t="s">
        <v>39</v>
      </c>
      <c r="M54" s="1" t="str">
        <f t="shared" si="0"/>
        <v>CUST-009</v>
      </c>
      <c r="N54" s="1" t="str">
        <f>TRIM(PROPER(VLOOKUP(M54,[1]Master_Customer_Profile!$A$2:$B$11,2,0)))</f>
        <v>Rizky Hidayat</v>
      </c>
      <c r="O54" s="4" t="str">
        <f>SUBSTITUTE(SUBSTITUTE(SUBSTITUTE(TRIM(VLOOKUP(M54,[1]Master_Customer_Profile!$A$2:$C$11,3,0)),"+",""),"62","")," ","")</f>
        <v>81933221100</v>
      </c>
      <c r="P54" s="1" t="str">
        <f t="shared" si="1"/>
        <v>PRD-BEAU-001</v>
      </c>
      <c r="Q54" s="1" t="str">
        <f t="shared" si="2"/>
        <v>JNE-REG-TRX-2024-0053-PRD-BEAU-001</v>
      </c>
      <c r="R54" s="1" t="str">
        <f>_xlfn.XLOOKUP(P54,[2]Master_Product_Catalog!$A$2:$A$16,[2]Master_Product_Catalog!$B$2:$B$16,"",3,1)</f>
        <v>Hydrating Serum Vitamin C 50ml</v>
      </c>
      <c r="S54" s="1" t="str">
        <f>_xlfn.XLOOKUP(P54,[2]Master_Product_Catalog!$A$2:$A$16,[2]Master_Product_Catalog!$C$2:$C$16,"Nothing")</f>
        <v>Beauty &amp; Health</v>
      </c>
      <c r="T54" s="1" t="str">
        <f>_xlfn.XLOOKUP(P54,[2]Master_Product_Catalog!$A$2:$A$16,[2]Master_Product_Catalog!$D$2:$D$16,"Nothing")</f>
        <v>Skincare</v>
      </c>
      <c r="U54" s="5">
        <f>_xlfn.XLOOKUP(P54,[2]Master_Product_Catalog!$A$2:$A$16,[2]Master_Product_Catalog!$E$2:$E$16,"Nothing")</f>
        <v>185000</v>
      </c>
      <c r="V54" s="6">
        <f>_xlfn.XLOOKUP(P54,[2]Master_Product_Catalog!$A$2:$A$16,[2]Master_Product_Catalog!$F$2:$F$16,"Nothing")</f>
        <v>85000</v>
      </c>
      <c r="W54" s="1" t="str">
        <f>_xlfn.XLOOKUP(P54,[2]Master_Product_Catalog!$A$2:$A$16,[2]Master_Product_Catalog!$G$2:$G$16,"Nothing")</f>
        <v>0.1</v>
      </c>
      <c r="X54" s="1" t="str">
        <f>_xlfn.XLOOKUP(M54,[1]Master_Customer_Profile!$A$2:$A$11,[1]Master_Customer_Profile!$D$2:$D$11)</f>
        <v>Sulawesi Selatan</v>
      </c>
      <c r="Y54" s="1" t="str">
        <f>_xlfn.XLOOKUP(M54,[1]Master_Customer_Profile!$A$2:$A$11,[1]Master_Customer_Profile!$G$2:$G$11)</f>
        <v>Silver</v>
      </c>
      <c r="Z54" s="1" t="str">
        <f>_xlfn.XLOOKUP(G54,[3]Master_SLA_Shipping!$A$2:$A$7,[3]Master_SLA_Shipping!$B$2:$B$7)</f>
        <v>JNE</v>
      </c>
      <c r="AA54" s="1" t="str">
        <f>_xlfn.XLOOKUP(G54,[3]Master_SLA_Shipping!$A$2:$A$7,[3]Master_SLA_Shipping!$C$2:$C$7)</f>
        <v>Regular</v>
      </c>
      <c r="AB54" s="1">
        <f>_xlfn.XLOOKUP(G54,[3]Master_SLA_Shipping!$A$2:$A$7,[3]Master_SLA_Shipping!$D$2:$D$7)</f>
        <v>3</v>
      </c>
      <c r="AC54" s="7">
        <f>_xlfn.XLOOKUP(G54,[3]Master_SLA_Shipping!$A$2:$A$7,[3]Master_SLA_Shipping!$E$2:$E$7)</f>
        <v>12000</v>
      </c>
      <c r="AD54" s="1" t="e">
        <v>#N/A</v>
      </c>
    </row>
    <row r="55" spans="1:30" x14ac:dyDescent="0.25">
      <c r="A55" s="1" t="s">
        <v>148</v>
      </c>
      <c r="B55" s="2">
        <v>45399</v>
      </c>
      <c r="C55" s="1" t="s">
        <v>84</v>
      </c>
      <c r="D55" s="1" t="s">
        <v>149</v>
      </c>
      <c r="E55" s="1">
        <v>2</v>
      </c>
      <c r="F55" s="1" t="s">
        <v>23</v>
      </c>
      <c r="G55" s="1" t="s">
        <v>54</v>
      </c>
      <c r="H55" s="2">
        <v>45401</v>
      </c>
      <c r="I55" s="2">
        <v>45403</v>
      </c>
      <c r="J55" s="1" t="s">
        <v>70</v>
      </c>
      <c r="K55" s="1" t="s">
        <v>18</v>
      </c>
      <c r="L55" s="1" t="s">
        <v>39</v>
      </c>
      <c r="M55" s="1" t="str">
        <f t="shared" si="0"/>
        <v>CUST-007</v>
      </c>
      <c r="N55" s="1" t="str">
        <f>TRIM(PROPER(VLOOKUP(M55,[1]Master_Customer_Profile!$A$2:$B$11,2,0)))</f>
        <v>Eko Prasetyo</v>
      </c>
      <c r="O55" s="4" t="str">
        <f>SUBSTITUTE(SUBSTITUTE(SUBSTITUTE(TRIM(VLOOKUP(M55,[1]Master_Customer_Profile!$A$2:$C$11,3,0)),"+",""),"62","")," ","")</f>
        <v>8170099887</v>
      </c>
      <c r="P55" s="1" t="str">
        <f t="shared" si="1"/>
        <v>PRD-HOME-003</v>
      </c>
      <c r="Q55" s="1" t="str">
        <f t="shared" si="2"/>
        <v>JNT-EXP-TRX-2024-0054-PRD-HOME-003</v>
      </c>
      <c r="R55" s="1" t="str">
        <f>_xlfn.XLOOKUP(P55,[2]Master_Product_Catalog!$A$2:$A$16,[2]Master_Product_Catalog!$B$2:$B$16,"",3,1)</f>
        <v>Stainless Steel Cookware Set 5pcs</v>
      </c>
      <c r="S55" s="1" t="str">
        <f>_xlfn.XLOOKUP(P55,[2]Master_Product_Catalog!$A$2:$A$16,[2]Master_Product_Catalog!$C$2:$C$16,"Nothing")</f>
        <v>Home &amp; Living</v>
      </c>
      <c r="T55" s="1" t="str">
        <f>_xlfn.XLOOKUP(P55,[2]Master_Product_Catalog!$A$2:$A$16,[2]Master_Product_Catalog!$D$2:$D$16,"Nothing")</f>
        <v>Kitchenware</v>
      </c>
      <c r="U55" s="5">
        <f>_xlfn.XLOOKUP(P55,[2]Master_Product_Catalog!$A$2:$A$16,[2]Master_Product_Catalog!$E$2:$E$16,"Nothing")</f>
        <v>880000</v>
      </c>
      <c r="V55" s="6">
        <f>_xlfn.XLOOKUP(P55,[2]Master_Product_Catalog!$A$2:$A$16,[2]Master_Product_Catalog!$F$2:$F$16,"Nothing")</f>
        <v>540000</v>
      </c>
      <c r="W55" s="1" t="str">
        <f>_xlfn.XLOOKUP(P55,[2]Master_Product_Catalog!$A$2:$A$16,[2]Master_Product_Catalog!$G$2:$G$16,"Nothing")</f>
        <v>3.8</v>
      </c>
      <c r="X55" s="1" t="str">
        <f>_xlfn.XLOOKUP(M55,[1]Master_Customer_Profile!$A$2:$A$11,[1]Master_Customer_Profile!$D$2:$D$11)</f>
        <v>DI Yogyakarta</v>
      </c>
      <c r="Y55" s="1" t="str">
        <f>_xlfn.XLOOKUP(M55,[1]Master_Customer_Profile!$A$2:$A$11,[1]Master_Customer_Profile!$G$2:$G$11)</f>
        <v>Platinum</v>
      </c>
      <c r="Z55" s="1" t="str">
        <f>_xlfn.XLOOKUP(G55,[3]Master_SLA_Shipping!$A$2:$A$7,[3]Master_SLA_Shipping!$B$2:$B$7)</f>
        <v>J&amp;T Express</v>
      </c>
      <c r="AA55" s="1" t="str">
        <f>_xlfn.XLOOKUP(G55,[3]Master_SLA_Shipping!$A$2:$A$7,[3]Master_SLA_Shipping!$C$2:$C$7)</f>
        <v>Express</v>
      </c>
      <c r="AB55" s="1">
        <f>_xlfn.XLOOKUP(G55,[3]Master_SLA_Shipping!$A$2:$A$7,[3]Master_SLA_Shipping!$D$2:$D$7)</f>
        <v>2</v>
      </c>
      <c r="AC55" s="7">
        <f>_xlfn.XLOOKUP(G55,[3]Master_SLA_Shipping!$A$2:$A$7,[3]Master_SLA_Shipping!$E$2:$E$7)</f>
        <v>15000</v>
      </c>
      <c r="AD55" s="1" t="e">
        <v>#N/A</v>
      </c>
    </row>
    <row r="56" spans="1:30" x14ac:dyDescent="0.25">
      <c r="A56" s="1" t="s">
        <v>150</v>
      </c>
      <c r="B56" s="2">
        <v>45402</v>
      </c>
      <c r="C56" s="1" t="s">
        <v>93</v>
      </c>
      <c r="D56" s="1" t="s">
        <v>151</v>
      </c>
      <c r="E56" s="1">
        <v>4</v>
      </c>
      <c r="F56" s="1" t="s">
        <v>120</v>
      </c>
      <c r="G56" s="1" t="s">
        <v>37</v>
      </c>
      <c r="H56" s="2">
        <v>45403</v>
      </c>
      <c r="I56" s="2">
        <v>45409</v>
      </c>
      <c r="J56" s="1" t="s">
        <v>17</v>
      </c>
      <c r="K56" s="1" t="s">
        <v>62</v>
      </c>
      <c r="L56" s="1" t="s">
        <v>33</v>
      </c>
      <c r="M56" s="1" t="str">
        <f t="shared" si="0"/>
        <v>CUST-008</v>
      </c>
      <c r="N56" s="1" t="str">
        <f>TRIM(PROPER(VLOOKUP(M56,[1]Master_Customer_Profile!$A$2:$B$11,2,0)))</f>
        <v>Maya Indah Sari</v>
      </c>
      <c r="O56" s="4" t="str">
        <f>SUBSTITUTE(SUBSTITUTE(SUBSTITUTE(TRIM(VLOOKUP(M56,[1]Master_Customer_Profile!$A$2:$C$11,3,0)),"+",""),"62","")," ","")</f>
        <v>85211447788</v>
      </c>
      <c r="P56" s="1" t="str">
        <f t="shared" si="1"/>
        <v>PRD-ELEC-003</v>
      </c>
      <c r="Q56" s="1" t="str">
        <f t="shared" si="2"/>
        <v>JNE-REG-TRX-2024-0055-PRD-ELEC-003</v>
      </c>
      <c r="R56" s="1" t="str">
        <f>_xlfn.XLOOKUP(P56,[2]Master_Product_Catalog!$A$2:$A$16,[2]Master_Product_Catalog!$B$2:$B$16,"",3,1)</f>
        <v>Mechanical Gaming Keyboard RGB</v>
      </c>
      <c r="S56" s="1" t="str">
        <f>_xlfn.XLOOKUP(P56,[2]Master_Product_Catalog!$A$2:$A$16,[2]Master_Product_Catalog!$C$2:$C$16,"Nothing")</f>
        <v>Electronics</v>
      </c>
      <c r="T56" s="1" t="str">
        <f>_xlfn.XLOOKUP(P56,[2]Master_Product_Catalog!$A$2:$A$16,[2]Master_Product_Catalog!$D$2:$D$16,"Nothing")</f>
        <v>Computer Accessories</v>
      </c>
      <c r="U56" s="5">
        <f>_xlfn.XLOOKUP(P56,[2]Master_Product_Catalog!$A$2:$A$16,[2]Master_Product_Catalog!$E$2:$E$16,"Nothing")</f>
        <v>950000</v>
      </c>
      <c r="V56" s="6">
        <f>_xlfn.XLOOKUP(P56,[2]Master_Product_Catalog!$A$2:$A$16,[2]Master_Product_Catalog!$F$2:$F$16,"Nothing")</f>
        <v>600000</v>
      </c>
      <c r="W56" s="1" t="str">
        <f>_xlfn.XLOOKUP(P56,[2]Master_Product_Catalog!$A$2:$A$16,[2]Master_Product_Catalog!$G$2:$G$16,"Nothing")</f>
        <v>1.2</v>
      </c>
      <c r="X56" s="1" t="str">
        <f>_xlfn.XLOOKUP(M56,[1]Master_Customer_Profile!$A$2:$A$11,[1]Master_Customer_Profile!$D$2:$D$11)</f>
        <v>Sumatera Utara</v>
      </c>
      <c r="Y56" s="1" t="str">
        <f>_xlfn.XLOOKUP(M56,[1]Master_Customer_Profile!$A$2:$A$11,[1]Master_Customer_Profile!$G$2:$G$11)</f>
        <v>Gold</v>
      </c>
      <c r="Z56" s="1" t="str">
        <f>_xlfn.XLOOKUP(G56,[3]Master_SLA_Shipping!$A$2:$A$7,[3]Master_SLA_Shipping!$B$2:$B$7)</f>
        <v>JNE</v>
      </c>
      <c r="AA56" s="1" t="str">
        <f>_xlfn.XLOOKUP(G56,[3]Master_SLA_Shipping!$A$2:$A$7,[3]Master_SLA_Shipping!$C$2:$C$7)</f>
        <v>Regular</v>
      </c>
      <c r="AB56" s="1">
        <f>_xlfn.XLOOKUP(G56,[3]Master_SLA_Shipping!$A$2:$A$7,[3]Master_SLA_Shipping!$D$2:$D$7)</f>
        <v>3</v>
      </c>
      <c r="AC56" s="7">
        <f>_xlfn.XLOOKUP(G56,[3]Master_SLA_Shipping!$A$2:$A$7,[3]Master_SLA_Shipping!$E$2:$E$7)</f>
        <v>12000</v>
      </c>
      <c r="AD56" s="1" t="e">
        <v>#N/A</v>
      </c>
    </row>
    <row r="57" spans="1:30" x14ac:dyDescent="0.25">
      <c r="A57" s="1" t="s">
        <v>152</v>
      </c>
      <c r="B57" s="2">
        <v>45403</v>
      </c>
      <c r="C57" s="1" t="s">
        <v>90</v>
      </c>
      <c r="D57" s="1" t="s">
        <v>153</v>
      </c>
      <c r="E57" s="1">
        <v>4</v>
      </c>
      <c r="F57" s="1" t="s">
        <v>73</v>
      </c>
      <c r="G57" s="1" t="s">
        <v>67</v>
      </c>
      <c r="H57" s="2">
        <v>45404</v>
      </c>
      <c r="I57" s="2">
        <v>45410</v>
      </c>
      <c r="J57" s="1" t="s">
        <v>70</v>
      </c>
      <c r="K57" s="1" t="s">
        <v>18</v>
      </c>
      <c r="L57" s="1" t="s">
        <v>33</v>
      </c>
      <c r="M57" s="1" t="str">
        <f t="shared" si="0"/>
        <v>CUST-007</v>
      </c>
      <c r="N57" s="1" t="str">
        <f>TRIM(PROPER(VLOOKUP(M57,[1]Master_Customer_Profile!$A$2:$B$11,2,0)))</f>
        <v>Eko Prasetyo</v>
      </c>
      <c r="O57" s="4" t="str">
        <f>SUBSTITUTE(SUBSTITUTE(SUBSTITUTE(TRIM(VLOOKUP(M57,[1]Master_Customer_Profile!$A$2:$C$11,3,0)),"+",""),"62","")," ","")</f>
        <v>8170099887</v>
      </c>
      <c r="P57" s="1" t="str">
        <f t="shared" si="1"/>
        <v>PRD-ELEC-005</v>
      </c>
      <c r="Q57" s="1" t="str">
        <f t="shared" si="2"/>
        <v>SISEPAT-GOKIL-TRX-2024-0056-PRD-ELEC-005</v>
      </c>
      <c r="R57" s="1" t="str">
        <f>_xlfn.XLOOKUP(P57,[2]Master_Product_Catalog!$A$2:$A$16,[2]Master_Product_Catalog!$B$2:$B$16,"",3,1)</f>
        <v>Ultra HD Webcam 4K Pro</v>
      </c>
      <c r="S57" s="1" t="str">
        <f>_xlfn.XLOOKUP(P57,[2]Master_Product_Catalog!$A$2:$A$16,[2]Master_Product_Catalog!$C$2:$C$16,"Nothing")</f>
        <v>Electronics</v>
      </c>
      <c r="T57" s="1" t="str">
        <f>_xlfn.XLOOKUP(P57,[2]Master_Product_Catalog!$A$2:$A$16,[2]Master_Product_Catalog!$D$2:$D$16,"Nothing")</f>
        <v>Computer Accessories</v>
      </c>
      <c r="U57" s="5">
        <f>_xlfn.XLOOKUP(P57,[2]Master_Product_Catalog!$A$2:$A$16,[2]Master_Product_Catalog!$E$2:$E$16,"Nothing")</f>
        <v>1100000</v>
      </c>
      <c r="V57" s="6">
        <f>_xlfn.XLOOKUP(P57,[2]Master_Product_Catalog!$A$2:$A$16,[2]Master_Product_Catalog!$F$2:$F$16,"Nothing")</f>
        <v>720000</v>
      </c>
      <c r="W57" s="1" t="str">
        <f>_xlfn.XLOOKUP(P57,[2]Master_Product_Catalog!$A$2:$A$16,[2]Master_Product_Catalog!$G$2:$G$16,"Nothing")</f>
        <v>0.4</v>
      </c>
      <c r="X57" s="1" t="str">
        <f>_xlfn.XLOOKUP(M57,[1]Master_Customer_Profile!$A$2:$A$11,[1]Master_Customer_Profile!$D$2:$D$11)</f>
        <v>DI Yogyakarta</v>
      </c>
      <c r="Y57" s="1" t="str">
        <f>_xlfn.XLOOKUP(M57,[1]Master_Customer_Profile!$A$2:$A$11,[1]Master_Customer_Profile!$G$2:$G$11)</f>
        <v>Platinum</v>
      </c>
      <c r="Z57" s="1" t="str">
        <f>_xlfn.XLOOKUP(G57,[3]Master_SLA_Shipping!$A$2:$A$7,[3]Master_SLA_Shipping!$B$2:$B$7)</f>
        <v>SiCepat</v>
      </c>
      <c r="AA57" s="1" t="str">
        <f>_xlfn.XLOOKUP(G57,[3]Master_SLA_Shipping!$A$2:$A$7,[3]Master_SLA_Shipping!$C$2:$C$7)</f>
        <v>Cargo</v>
      </c>
      <c r="AB57" s="1">
        <f>_xlfn.XLOOKUP(G57,[3]Master_SLA_Shipping!$A$2:$A$7,[3]Master_SLA_Shipping!$D$2:$D$7)</f>
        <v>5</v>
      </c>
      <c r="AC57" s="7">
        <f>_xlfn.XLOOKUP(G57,[3]Master_SLA_Shipping!$A$2:$A$7,[3]Master_SLA_Shipping!$E$2:$E$7)</f>
        <v>8000</v>
      </c>
      <c r="AD57" s="1" t="e">
        <v>#N/A</v>
      </c>
    </row>
    <row r="58" spans="1:30" x14ac:dyDescent="0.25">
      <c r="A58" s="1" t="s">
        <v>154</v>
      </c>
      <c r="B58" s="2">
        <v>45405</v>
      </c>
      <c r="C58" s="1" t="s">
        <v>21</v>
      </c>
      <c r="D58" s="1" t="s">
        <v>155</v>
      </c>
      <c r="E58" s="1">
        <v>2</v>
      </c>
      <c r="F58" s="1" t="s">
        <v>23</v>
      </c>
      <c r="G58" s="1" t="s">
        <v>24</v>
      </c>
      <c r="H58" s="2">
        <v>45407</v>
      </c>
      <c r="I58" s="2">
        <v>45412</v>
      </c>
      <c r="J58" s="1" t="s">
        <v>25</v>
      </c>
      <c r="K58" s="1" t="s">
        <v>26</v>
      </c>
      <c r="L58" s="1" t="s">
        <v>27</v>
      </c>
      <c r="M58" s="1" t="str">
        <f t="shared" si="0"/>
        <v>CUST-001</v>
      </c>
      <c r="N58" s="1" t="str">
        <f>TRIM(PROPER(VLOOKUP(M58,[1]Master_Customer_Profile!$A$2:$B$11,2,0)))</f>
        <v>Ahmad Fauzi</v>
      </c>
      <c r="O58" s="4" t="str">
        <f>SUBSTITUTE(SUBSTITUTE(SUBSTITUTE(TRIM(VLOOKUP(M58,[1]Master_Customer_Profile!$A$2:$C$11,3,0)),"+",""),"62","")," ","")</f>
        <v>81234567890</v>
      </c>
      <c r="P58" s="1" t="str">
        <f t="shared" si="1"/>
        <v>PRD-BEAU-001</v>
      </c>
      <c r="Q58" s="1" t="str">
        <f t="shared" si="2"/>
        <v>JNT-REG-TRX-2024-0057-PRD-BEAU-001</v>
      </c>
      <c r="R58" s="1" t="str">
        <f>_xlfn.XLOOKUP(P58,[2]Master_Product_Catalog!$A$2:$A$16,[2]Master_Product_Catalog!$B$2:$B$16,"",3,1)</f>
        <v>Hydrating Serum Vitamin C 50ml</v>
      </c>
      <c r="S58" s="1" t="str">
        <f>_xlfn.XLOOKUP(P58,[2]Master_Product_Catalog!$A$2:$A$16,[2]Master_Product_Catalog!$C$2:$C$16,"Nothing")</f>
        <v>Beauty &amp; Health</v>
      </c>
      <c r="T58" s="1" t="str">
        <f>_xlfn.XLOOKUP(P58,[2]Master_Product_Catalog!$A$2:$A$16,[2]Master_Product_Catalog!$D$2:$D$16,"Nothing")</f>
        <v>Skincare</v>
      </c>
      <c r="U58" s="5">
        <f>_xlfn.XLOOKUP(P58,[2]Master_Product_Catalog!$A$2:$A$16,[2]Master_Product_Catalog!$E$2:$E$16,"Nothing")</f>
        <v>185000</v>
      </c>
      <c r="V58" s="6">
        <f>_xlfn.XLOOKUP(P58,[2]Master_Product_Catalog!$A$2:$A$16,[2]Master_Product_Catalog!$F$2:$F$16,"Nothing")</f>
        <v>85000</v>
      </c>
      <c r="W58" s="1" t="str">
        <f>_xlfn.XLOOKUP(P58,[2]Master_Product_Catalog!$A$2:$A$16,[2]Master_Product_Catalog!$G$2:$G$16,"Nothing")</f>
        <v>0.1</v>
      </c>
      <c r="X58" s="1" t="str">
        <f>_xlfn.XLOOKUP(M58,[1]Master_Customer_Profile!$A$2:$A$11,[1]Master_Customer_Profile!$D$2:$D$11)</f>
        <v>Jawa Barat</v>
      </c>
      <c r="Y58" s="1" t="str">
        <f>_xlfn.XLOOKUP(M58,[1]Master_Customer_Profile!$A$2:$A$11,[1]Master_Customer_Profile!$G$2:$G$11)</f>
        <v>VIP</v>
      </c>
      <c r="Z58" s="1" t="str">
        <f>_xlfn.XLOOKUP(G58,[3]Master_SLA_Shipping!$A$2:$A$7,[3]Master_SLA_Shipping!$B$2:$B$7)</f>
        <v>J&amp;T Express</v>
      </c>
      <c r="AA58" s="1" t="str">
        <f>_xlfn.XLOOKUP(G58,[3]Master_SLA_Shipping!$A$2:$A$7,[3]Master_SLA_Shipping!$C$2:$C$7)</f>
        <v>Regular</v>
      </c>
      <c r="AB58" s="1">
        <f>_xlfn.XLOOKUP(G58,[3]Master_SLA_Shipping!$A$2:$A$7,[3]Master_SLA_Shipping!$D$2:$D$7)</f>
        <v>4</v>
      </c>
      <c r="AC58" s="7">
        <f>_xlfn.XLOOKUP(G58,[3]Master_SLA_Shipping!$A$2:$A$7,[3]Master_SLA_Shipping!$E$2:$E$7)</f>
        <v>10000</v>
      </c>
      <c r="AD58" s="1" t="e">
        <v>#N/A</v>
      </c>
    </row>
    <row r="59" spans="1:30" x14ac:dyDescent="0.25">
      <c r="A59" s="1" t="s">
        <v>156</v>
      </c>
      <c r="B59" s="2">
        <v>45407</v>
      </c>
      <c r="C59" s="1" t="s">
        <v>13</v>
      </c>
      <c r="D59" s="1" t="s">
        <v>157</v>
      </c>
      <c r="E59" s="1">
        <v>3</v>
      </c>
      <c r="F59" s="1" t="s">
        <v>23</v>
      </c>
      <c r="G59" s="1" t="s">
        <v>24</v>
      </c>
      <c r="H59" s="2">
        <v>45408</v>
      </c>
      <c r="I59" s="2">
        <v>45409</v>
      </c>
      <c r="J59" s="1" t="s">
        <v>38</v>
      </c>
      <c r="K59" s="1" t="s">
        <v>48</v>
      </c>
      <c r="L59" s="1" t="s">
        <v>19</v>
      </c>
      <c r="M59" s="1" t="str">
        <f t="shared" si="0"/>
        <v>CUST-002</v>
      </c>
      <c r="N59" s="1" t="str">
        <f>TRIM(PROPER(VLOOKUP(M59,[1]Master_Customer_Profile!$A$2:$B$11,2,0)))</f>
        <v>Siti Nurhaliza</v>
      </c>
      <c r="O59" s="4" t="str">
        <f>SUBSTITUTE(SUBSTITUTE(SUBSTITUTE(TRIM(VLOOKUP(M59,[1]Master_Customer_Profile!$A$2:$C$11,3,0)),"+",""),"62","")," ","")</f>
        <v>8189876543</v>
      </c>
      <c r="P59" s="1" t="str">
        <f t="shared" si="1"/>
        <v>PRD-HOME-001</v>
      </c>
      <c r="Q59" s="1" t="str">
        <f t="shared" si="2"/>
        <v>JNT-REG-TRX-2024-0058-PRD-HOME-001</v>
      </c>
      <c r="R59" s="1" t="str">
        <f>_xlfn.XLOOKUP(P59,[2]Master_Product_Catalog!$A$2:$A$16,[2]Master_Product_Catalog!$B$2:$B$16,"",3,1)</f>
        <v>Automatic Coffee Espresso Machine</v>
      </c>
      <c r="S59" s="1" t="str">
        <f>_xlfn.XLOOKUP(P59,[2]Master_Product_Catalog!$A$2:$A$16,[2]Master_Product_Catalog!$C$2:$C$16,"Nothing")</f>
        <v>Home &amp; Living</v>
      </c>
      <c r="T59" s="1" t="str">
        <f>_xlfn.XLOOKUP(P59,[2]Master_Product_Catalog!$A$2:$A$16,[2]Master_Product_Catalog!$D$2:$D$16,"Nothing")</f>
        <v>Kitchen Appliances</v>
      </c>
      <c r="U59" s="5">
        <f>_xlfn.XLOOKUP(P59,[2]Master_Product_Catalog!$A$2:$A$16,[2]Master_Product_Catalog!$E$2:$E$16,"Nothing")</f>
        <v>2400000</v>
      </c>
      <c r="V59" s="6">
        <f>_xlfn.XLOOKUP(P59,[2]Master_Product_Catalog!$A$2:$A$16,[2]Master_Product_Catalog!$F$2:$F$16,"Nothing")</f>
        <v>1650000</v>
      </c>
      <c r="W59" s="1" t="str">
        <f>_xlfn.XLOOKUP(P59,[2]Master_Product_Catalog!$A$2:$A$16,[2]Master_Product_Catalog!$G$2:$G$16,"Nothing")</f>
        <v>4.5</v>
      </c>
      <c r="X59" s="1" t="str">
        <f>_xlfn.XLOOKUP(M59,[1]Master_Customer_Profile!$A$2:$A$11,[1]Master_Customer_Profile!$D$2:$D$11)</f>
        <v>DKI Jakarta</v>
      </c>
      <c r="Y59" s="1" t="str">
        <f>_xlfn.XLOOKUP(M59,[1]Master_Customer_Profile!$A$2:$A$11,[1]Master_Customer_Profile!$G$2:$G$11)</f>
        <v>Gold</v>
      </c>
      <c r="Z59" s="1" t="str">
        <f>_xlfn.XLOOKUP(G59,[3]Master_SLA_Shipping!$A$2:$A$7,[3]Master_SLA_Shipping!$B$2:$B$7)</f>
        <v>J&amp;T Express</v>
      </c>
      <c r="AA59" s="1" t="str">
        <f>_xlfn.XLOOKUP(G59,[3]Master_SLA_Shipping!$A$2:$A$7,[3]Master_SLA_Shipping!$C$2:$C$7)</f>
        <v>Regular</v>
      </c>
      <c r="AB59" s="1">
        <f>_xlfn.XLOOKUP(G59,[3]Master_SLA_Shipping!$A$2:$A$7,[3]Master_SLA_Shipping!$D$2:$D$7)</f>
        <v>4</v>
      </c>
      <c r="AC59" s="7">
        <f>_xlfn.XLOOKUP(G59,[3]Master_SLA_Shipping!$A$2:$A$7,[3]Master_SLA_Shipping!$E$2:$E$7)</f>
        <v>10000</v>
      </c>
      <c r="AD59" s="1" t="e">
        <v>#N/A</v>
      </c>
    </row>
    <row r="60" spans="1:30" x14ac:dyDescent="0.25">
      <c r="A60" s="1" t="s">
        <v>158</v>
      </c>
      <c r="B60" s="2">
        <v>45409</v>
      </c>
      <c r="C60" s="1" t="s">
        <v>133</v>
      </c>
      <c r="D60" s="1" t="s">
        <v>159</v>
      </c>
      <c r="E60" s="1">
        <v>4</v>
      </c>
      <c r="F60" s="1" t="s">
        <v>47</v>
      </c>
      <c r="G60" s="1" t="s">
        <v>54</v>
      </c>
      <c r="H60" s="2">
        <v>45410</v>
      </c>
      <c r="I60" s="2">
        <v>45416</v>
      </c>
      <c r="J60" s="1" t="s">
        <v>17</v>
      </c>
      <c r="K60" s="1" t="s">
        <v>18</v>
      </c>
      <c r="L60" s="1" t="s">
        <v>19</v>
      </c>
      <c r="M60" s="1" t="str">
        <f t="shared" si="0"/>
        <v>CUST-010</v>
      </c>
      <c r="N60" s="1" t="str">
        <f>TRIM(PROPER(VLOOKUP(M60,[1]Master_Customer_Profile!$A$2:$B$11,2,0)))</f>
        <v>Valentina Rosi</v>
      </c>
      <c r="O60" s="4" t="str">
        <f>SUBSTITUTE(SUBSTITUTE(SUBSTITUTE(TRIM(VLOOKUP(M60,[1]Master_Customer_Profile!$A$2:$C$11,3,0)),"+",""),"62","")," ","")</f>
        <v>81377665544</v>
      </c>
      <c r="P60" s="1" t="str">
        <f t="shared" si="1"/>
        <v>PRD-ELEC-001</v>
      </c>
      <c r="Q60" s="1" t="str">
        <f t="shared" si="2"/>
        <v>JNT-EXP-TRX-2024-0059-PRD-ELEC-001</v>
      </c>
      <c r="R60" s="1" t="str">
        <f>_xlfn.XLOOKUP(P60,[2]Master_Product_Catalog!$A$2:$A$16,[2]Master_Product_Catalog!$B$2:$B$16,"",3,1)</f>
        <v>Wireless Noise Cancelling Headphones</v>
      </c>
      <c r="S60" s="1" t="str">
        <f>_xlfn.XLOOKUP(P60,[2]Master_Product_Catalog!$A$2:$A$16,[2]Master_Product_Catalog!$C$2:$C$16,"Nothing")</f>
        <v>Electronics</v>
      </c>
      <c r="T60" s="1" t="str">
        <f>_xlfn.XLOOKUP(P60,[2]Master_Product_Catalog!$A$2:$A$16,[2]Master_Product_Catalog!$D$2:$D$16,"Nothing")</f>
        <v>Audio</v>
      </c>
      <c r="U60" s="5">
        <f>_xlfn.XLOOKUP(P60,[2]Master_Product_Catalog!$A$2:$A$16,[2]Master_Product_Catalog!$E$2:$E$16,"Nothing")</f>
        <v>1250000</v>
      </c>
      <c r="V60" s="6">
        <f>_xlfn.XLOOKUP(P60,[2]Master_Product_Catalog!$A$2:$A$16,[2]Master_Product_Catalog!$F$2:$F$16,"Nothing")</f>
        <v>850000</v>
      </c>
      <c r="W60" s="1" t="str">
        <f>_xlfn.XLOOKUP(P60,[2]Master_Product_Catalog!$A$2:$A$16,[2]Master_Product_Catalog!$G$2:$G$16,"Nothing")</f>
        <v>0.8</v>
      </c>
      <c r="X60" s="1" t="str">
        <f>_xlfn.XLOOKUP(M60,[1]Master_Customer_Profile!$A$2:$A$11,[1]Master_Customer_Profile!$D$2:$D$11)</f>
        <v>Bali</v>
      </c>
      <c r="Y60" s="1" t="str">
        <f>_xlfn.XLOOKUP(M60,[1]Master_Customer_Profile!$A$2:$A$11,[1]Master_Customer_Profile!$G$2:$G$11)</f>
        <v>VIP</v>
      </c>
      <c r="Z60" s="1" t="str">
        <f>_xlfn.XLOOKUP(G60,[3]Master_SLA_Shipping!$A$2:$A$7,[3]Master_SLA_Shipping!$B$2:$B$7)</f>
        <v>J&amp;T Express</v>
      </c>
      <c r="AA60" s="1" t="str">
        <f>_xlfn.XLOOKUP(G60,[3]Master_SLA_Shipping!$A$2:$A$7,[3]Master_SLA_Shipping!$C$2:$C$7)</f>
        <v>Express</v>
      </c>
      <c r="AB60" s="1">
        <f>_xlfn.XLOOKUP(G60,[3]Master_SLA_Shipping!$A$2:$A$7,[3]Master_SLA_Shipping!$D$2:$D$7)</f>
        <v>2</v>
      </c>
      <c r="AC60" s="7">
        <f>_xlfn.XLOOKUP(G60,[3]Master_SLA_Shipping!$A$2:$A$7,[3]Master_SLA_Shipping!$E$2:$E$7)</f>
        <v>15000</v>
      </c>
      <c r="AD60" s="1" t="e">
        <v>#N/A</v>
      </c>
    </row>
    <row r="61" spans="1:30" x14ac:dyDescent="0.25">
      <c r="A61" s="1" t="s">
        <v>160</v>
      </c>
      <c r="B61" s="2">
        <v>45411</v>
      </c>
      <c r="C61" s="1" t="s">
        <v>82</v>
      </c>
      <c r="D61" s="1" t="s">
        <v>161</v>
      </c>
      <c r="E61" s="1">
        <v>1</v>
      </c>
      <c r="F61" s="1" t="s">
        <v>120</v>
      </c>
      <c r="G61" s="1" t="s">
        <v>16</v>
      </c>
      <c r="H61" s="2">
        <v>45412</v>
      </c>
      <c r="I61" s="2">
        <v>45413</v>
      </c>
      <c r="J61" s="1" t="s">
        <v>70</v>
      </c>
      <c r="K61" s="1" t="s">
        <v>62</v>
      </c>
      <c r="L61" s="1" t="s">
        <v>33</v>
      </c>
      <c r="M61" s="1" t="str">
        <f t="shared" si="0"/>
        <v>CUST-010</v>
      </c>
      <c r="N61" s="1" t="str">
        <f>TRIM(PROPER(VLOOKUP(M61,[1]Master_Customer_Profile!$A$2:$B$11,2,0)))</f>
        <v>Valentina Rosi</v>
      </c>
      <c r="O61" s="4" t="str">
        <f>SUBSTITUTE(SUBSTITUTE(SUBSTITUTE(TRIM(VLOOKUP(M61,[1]Master_Customer_Profile!$A$2:$C$11,3,0)),"+",""),"62","")," ","")</f>
        <v>81377665544</v>
      </c>
      <c r="P61" s="1" t="str">
        <f t="shared" si="1"/>
        <v>PRD-BEAU-001</v>
      </c>
      <c r="Q61" s="1" t="str">
        <f t="shared" si="2"/>
        <v>SISEPAT-BEST-TRX-2024-0060-PRD-BEAU-001</v>
      </c>
      <c r="R61" s="1" t="str">
        <f>_xlfn.XLOOKUP(P61,[2]Master_Product_Catalog!$A$2:$A$16,[2]Master_Product_Catalog!$B$2:$B$16,"",3,1)</f>
        <v>Hydrating Serum Vitamin C 50ml</v>
      </c>
      <c r="S61" s="1" t="str">
        <f>_xlfn.XLOOKUP(P61,[2]Master_Product_Catalog!$A$2:$A$16,[2]Master_Product_Catalog!$C$2:$C$16,"Nothing")</f>
        <v>Beauty &amp; Health</v>
      </c>
      <c r="T61" s="1" t="str">
        <f>_xlfn.XLOOKUP(P61,[2]Master_Product_Catalog!$A$2:$A$16,[2]Master_Product_Catalog!$D$2:$D$16,"Nothing")</f>
        <v>Skincare</v>
      </c>
      <c r="U61" s="5">
        <f>_xlfn.XLOOKUP(P61,[2]Master_Product_Catalog!$A$2:$A$16,[2]Master_Product_Catalog!$E$2:$E$16,"Nothing")</f>
        <v>185000</v>
      </c>
      <c r="V61" s="6">
        <f>_xlfn.XLOOKUP(P61,[2]Master_Product_Catalog!$A$2:$A$16,[2]Master_Product_Catalog!$F$2:$F$16,"Nothing")</f>
        <v>85000</v>
      </c>
      <c r="W61" s="1" t="str">
        <f>_xlfn.XLOOKUP(P61,[2]Master_Product_Catalog!$A$2:$A$16,[2]Master_Product_Catalog!$G$2:$G$16,"Nothing")</f>
        <v>0.1</v>
      </c>
      <c r="X61" s="1" t="str">
        <f>_xlfn.XLOOKUP(M61,[1]Master_Customer_Profile!$A$2:$A$11,[1]Master_Customer_Profile!$D$2:$D$11)</f>
        <v>Bali</v>
      </c>
      <c r="Y61" s="1" t="str">
        <f>_xlfn.XLOOKUP(M61,[1]Master_Customer_Profile!$A$2:$A$11,[1]Master_Customer_Profile!$G$2:$G$11)</f>
        <v>VIP</v>
      </c>
      <c r="Z61" s="1" t="str">
        <f>_xlfn.XLOOKUP(G61,[3]Master_SLA_Shipping!$A$2:$A$7,[3]Master_SLA_Shipping!$B$2:$B$7)</f>
        <v>SiCepat</v>
      </c>
      <c r="AA61" s="1" t="str">
        <f>_xlfn.XLOOKUP(G61,[3]Master_SLA_Shipping!$A$2:$A$7,[3]Master_SLA_Shipping!$C$2:$C$7)</f>
        <v>Express</v>
      </c>
      <c r="AB61" s="1">
        <f>_xlfn.XLOOKUP(G61,[3]Master_SLA_Shipping!$A$2:$A$7,[3]Master_SLA_Shipping!$D$2:$D$7)</f>
        <v>2</v>
      </c>
      <c r="AC61" s="7">
        <f>_xlfn.XLOOKUP(G61,[3]Master_SLA_Shipping!$A$2:$A$7,[3]Master_SLA_Shipping!$E$2:$E$7)</f>
        <v>16000</v>
      </c>
      <c r="AD61" s="1" t="e">
        <v>#N/A</v>
      </c>
    </row>
    <row r="62" spans="1:30" x14ac:dyDescent="0.25">
      <c r="A62" s="1" t="s">
        <v>162</v>
      </c>
      <c r="B62" s="2">
        <v>45413</v>
      </c>
      <c r="C62" s="1" t="s">
        <v>84</v>
      </c>
      <c r="D62" s="1" t="s">
        <v>53</v>
      </c>
      <c r="E62" s="1">
        <v>4</v>
      </c>
      <c r="F62" s="1" t="s">
        <v>120</v>
      </c>
      <c r="G62" s="1" t="s">
        <v>67</v>
      </c>
      <c r="H62" s="2">
        <v>45416</v>
      </c>
      <c r="I62" s="2">
        <v>45421</v>
      </c>
      <c r="J62" s="1" t="s">
        <v>31</v>
      </c>
      <c r="K62" s="1" t="s">
        <v>48</v>
      </c>
      <c r="L62" s="1" t="s">
        <v>39</v>
      </c>
      <c r="M62" s="1" t="str">
        <f t="shared" si="0"/>
        <v>CUST-007</v>
      </c>
      <c r="N62" s="1" t="str">
        <f>TRIM(PROPER(VLOOKUP(M62,[1]Master_Customer_Profile!$A$2:$B$11,2,0)))</f>
        <v>Eko Prasetyo</v>
      </c>
      <c r="O62" s="4" t="str">
        <f>SUBSTITUTE(SUBSTITUTE(SUBSTITUTE(TRIM(VLOOKUP(M62,[1]Master_Customer_Profile!$A$2:$C$11,3,0)),"+",""),"62","")," ","")</f>
        <v>8170099887</v>
      </c>
      <c r="P62" s="1" t="str">
        <f t="shared" si="1"/>
        <v>PRD-BEAU-002</v>
      </c>
      <c r="Q62" s="1" t="str">
        <f t="shared" si="2"/>
        <v>SISEPAT-GOKIL-TRX-2024-0061-PRD-BEAU-002</v>
      </c>
      <c r="R62" s="1" t="str">
        <f>_xlfn.XLOOKUP(P62,[2]Master_Product_Catalog!$A$2:$A$16,[2]Master_Product_Catalog!$B$2:$B$16,"",3,1)</f>
        <v>Organic Sunscreen SPF 50 PA++++</v>
      </c>
      <c r="S62" s="1" t="str">
        <f>_xlfn.XLOOKUP(P62,[2]Master_Product_Catalog!$A$2:$A$16,[2]Master_Product_Catalog!$C$2:$C$16,"Nothing")</f>
        <v>Beauty &amp; Health</v>
      </c>
      <c r="T62" s="1" t="str">
        <f>_xlfn.XLOOKUP(P62,[2]Master_Product_Catalog!$A$2:$A$16,[2]Master_Product_Catalog!$D$2:$D$16,"Nothing")</f>
        <v>Skincare</v>
      </c>
      <c r="U62" s="5">
        <f>_xlfn.XLOOKUP(P62,[2]Master_Product_Catalog!$A$2:$A$16,[2]Master_Product_Catalog!$E$2:$E$16,"Nothing")</f>
        <v>145000</v>
      </c>
      <c r="V62" s="6">
        <f>_xlfn.XLOOKUP(P62,[2]Master_Product_Catalog!$A$2:$A$16,[2]Master_Product_Catalog!$F$2:$F$16,"Nothing")</f>
        <v>65000</v>
      </c>
      <c r="W62" s="1" t="str">
        <f>_xlfn.XLOOKUP(P62,[2]Master_Product_Catalog!$A$2:$A$16,[2]Master_Product_Catalog!$G$2:$G$16,"Nothing")</f>
        <v>0.12</v>
      </c>
      <c r="X62" s="1" t="str">
        <f>_xlfn.XLOOKUP(M62,[1]Master_Customer_Profile!$A$2:$A$11,[1]Master_Customer_Profile!$D$2:$D$11)</f>
        <v>DI Yogyakarta</v>
      </c>
      <c r="Y62" s="1" t="str">
        <f>_xlfn.XLOOKUP(M62,[1]Master_Customer_Profile!$A$2:$A$11,[1]Master_Customer_Profile!$G$2:$G$11)</f>
        <v>Platinum</v>
      </c>
      <c r="Z62" s="1" t="str">
        <f>_xlfn.XLOOKUP(G62,[3]Master_SLA_Shipping!$A$2:$A$7,[3]Master_SLA_Shipping!$B$2:$B$7)</f>
        <v>SiCepat</v>
      </c>
      <c r="AA62" s="1" t="str">
        <f>_xlfn.XLOOKUP(G62,[3]Master_SLA_Shipping!$A$2:$A$7,[3]Master_SLA_Shipping!$C$2:$C$7)</f>
        <v>Cargo</v>
      </c>
      <c r="AB62" s="1">
        <f>_xlfn.XLOOKUP(G62,[3]Master_SLA_Shipping!$A$2:$A$7,[3]Master_SLA_Shipping!$D$2:$D$7)</f>
        <v>5</v>
      </c>
      <c r="AC62" s="7">
        <f>_xlfn.XLOOKUP(G62,[3]Master_SLA_Shipping!$A$2:$A$7,[3]Master_SLA_Shipping!$E$2:$E$7)</f>
        <v>8000</v>
      </c>
      <c r="AD62" s="1" t="e">
        <v>#N/A</v>
      </c>
    </row>
    <row r="63" spans="1:30" x14ac:dyDescent="0.25">
      <c r="A63" s="1" t="s">
        <v>163</v>
      </c>
      <c r="B63" s="2">
        <v>45416</v>
      </c>
      <c r="C63" s="1" t="s">
        <v>29</v>
      </c>
      <c r="D63" s="1" t="s">
        <v>164</v>
      </c>
      <c r="E63" s="1">
        <v>4</v>
      </c>
      <c r="F63" s="1" t="s">
        <v>47</v>
      </c>
      <c r="G63" s="1" t="s">
        <v>24</v>
      </c>
      <c r="H63" s="2">
        <v>45417</v>
      </c>
      <c r="I63" s="2">
        <v>45419</v>
      </c>
      <c r="J63" s="1" t="s">
        <v>31</v>
      </c>
      <c r="K63" s="1" t="s">
        <v>26</v>
      </c>
      <c r="L63" s="1" t="s">
        <v>33</v>
      </c>
      <c r="M63" s="1" t="str">
        <f t="shared" si="0"/>
        <v>CUST-005</v>
      </c>
      <c r="N63" s="1" t="str">
        <f>TRIM(PROPER(VLOOKUP(M63,[1]Master_Customer_Profile!$A$2:$B$11,2,0)))</f>
        <v>Hendra Wijaya</v>
      </c>
      <c r="O63" s="4" t="str">
        <f>SUBSTITUTE(SUBSTITUTE(SUBSTITUTE(TRIM(VLOOKUP(M63,[1]Master_Customer_Profile!$A$2:$C$11,3,0)),"+",""),"62","")," ","")</f>
        <v>8189876543</v>
      </c>
      <c r="P63" s="1" t="str">
        <f t="shared" si="1"/>
        <v>PRD-HOME-001</v>
      </c>
      <c r="Q63" s="1" t="str">
        <f t="shared" si="2"/>
        <v>JNT-REG-TRX-2024-0062-PRD-HOME-001</v>
      </c>
      <c r="R63" s="1" t="str">
        <f>_xlfn.XLOOKUP(P63,[2]Master_Product_Catalog!$A$2:$A$16,[2]Master_Product_Catalog!$B$2:$B$16,"",3,1)</f>
        <v>Automatic Coffee Espresso Machine</v>
      </c>
      <c r="S63" s="1" t="str">
        <f>_xlfn.XLOOKUP(P63,[2]Master_Product_Catalog!$A$2:$A$16,[2]Master_Product_Catalog!$C$2:$C$16,"Nothing")</f>
        <v>Home &amp; Living</v>
      </c>
      <c r="T63" s="1" t="str">
        <f>_xlfn.XLOOKUP(P63,[2]Master_Product_Catalog!$A$2:$A$16,[2]Master_Product_Catalog!$D$2:$D$16,"Nothing")</f>
        <v>Kitchen Appliances</v>
      </c>
      <c r="U63" s="5">
        <f>_xlfn.XLOOKUP(P63,[2]Master_Product_Catalog!$A$2:$A$16,[2]Master_Product_Catalog!$E$2:$E$16,"Nothing")</f>
        <v>2400000</v>
      </c>
      <c r="V63" s="6">
        <f>_xlfn.XLOOKUP(P63,[2]Master_Product_Catalog!$A$2:$A$16,[2]Master_Product_Catalog!$F$2:$F$16,"Nothing")</f>
        <v>1650000</v>
      </c>
      <c r="W63" s="1" t="str">
        <f>_xlfn.XLOOKUP(P63,[2]Master_Product_Catalog!$A$2:$A$16,[2]Master_Product_Catalog!$G$2:$G$16,"Nothing")</f>
        <v>4.5</v>
      </c>
      <c r="X63" s="1" t="str">
        <f>_xlfn.XLOOKUP(M63,[1]Master_Customer_Profile!$A$2:$A$11,[1]Master_Customer_Profile!$D$2:$D$11)</f>
        <v>DKI Jakarta</v>
      </c>
      <c r="Y63" s="1" t="str">
        <f>_xlfn.XLOOKUP(M63,[1]Master_Customer_Profile!$A$2:$A$11,[1]Master_Customer_Profile!$G$2:$G$11)</f>
        <v>Gold</v>
      </c>
      <c r="Z63" s="1" t="str">
        <f>_xlfn.XLOOKUP(G63,[3]Master_SLA_Shipping!$A$2:$A$7,[3]Master_SLA_Shipping!$B$2:$B$7)</f>
        <v>J&amp;T Express</v>
      </c>
      <c r="AA63" s="1" t="str">
        <f>_xlfn.XLOOKUP(G63,[3]Master_SLA_Shipping!$A$2:$A$7,[3]Master_SLA_Shipping!$C$2:$C$7)</f>
        <v>Regular</v>
      </c>
      <c r="AB63" s="1">
        <f>_xlfn.XLOOKUP(G63,[3]Master_SLA_Shipping!$A$2:$A$7,[3]Master_SLA_Shipping!$D$2:$D$7)</f>
        <v>4</v>
      </c>
      <c r="AC63" s="7">
        <f>_xlfn.XLOOKUP(G63,[3]Master_SLA_Shipping!$A$2:$A$7,[3]Master_SLA_Shipping!$E$2:$E$7)</f>
        <v>10000</v>
      </c>
      <c r="AD63" s="1" t="e">
        <v>#N/A</v>
      </c>
    </row>
    <row r="64" spans="1:30" x14ac:dyDescent="0.25">
      <c r="A64" s="1" t="s">
        <v>165</v>
      </c>
      <c r="B64" s="2">
        <v>45418</v>
      </c>
      <c r="C64" s="1" t="s">
        <v>93</v>
      </c>
      <c r="D64" s="1" t="s">
        <v>57</v>
      </c>
      <c r="E64" s="1">
        <v>5</v>
      </c>
      <c r="F64" s="1" t="s">
        <v>23</v>
      </c>
      <c r="G64" s="1" t="s">
        <v>42</v>
      </c>
      <c r="H64" s="2">
        <v>45419</v>
      </c>
      <c r="I64" s="2">
        <v>45422</v>
      </c>
      <c r="J64" s="1" t="s">
        <v>31</v>
      </c>
      <c r="K64" s="1" t="s">
        <v>32</v>
      </c>
      <c r="L64" s="1" t="s">
        <v>43</v>
      </c>
      <c r="M64" s="1" t="str">
        <f t="shared" si="0"/>
        <v>CUST-008</v>
      </c>
      <c r="N64" s="1" t="str">
        <f>TRIM(PROPER(VLOOKUP(M64,[1]Master_Customer_Profile!$A$2:$B$11,2,0)))</f>
        <v>Maya Indah Sari</v>
      </c>
      <c r="O64" s="4" t="str">
        <f>SUBSTITUTE(SUBSTITUTE(SUBSTITUTE(TRIM(VLOOKUP(M64,[1]Master_Customer_Profile!$A$2:$C$11,3,0)),"+",""),"62","")," ","")</f>
        <v>85211447788</v>
      </c>
      <c r="P64" s="1" t="str">
        <f t="shared" si="1"/>
        <v>PRD-ELEC-004</v>
      </c>
      <c r="Q64" s="1" t="str">
        <f t="shared" si="2"/>
        <v>JNE-YES-TRX-2024-0063-PRD-ELEC-004</v>
      </c>
      <c r="R64" s="1" t="str">
        <f>_xlfn.XLOOKUP(P64,[2]Master_Product_Catalog!$A$2:$A$16,[2]Master_Product_Catalog!$B$2:$B$16,"",3,1)</f>
        <v>Ergonomic Wireless Mouse</v>
      </c>
      <c r="S64" s="1" t="str">
        <f>_xlfn.XLOOKUP(P64,[2]Master_Product_Catalog!$A$2:$A$16,[2]Master_Product_Catalog!$C$2:$C$16,"Nothing")</f>
        <v>Electronics</v>
      </c>
      <c r="T64" s="1" t="str">
        <f>_xlfn.XLOOKUP(P64,[2]Master_Product_Catalog!$A$2:$A$16,[2]Master_Product_Catalog!$D$2:$D$16,"Nothing")</f>
        <v>Computer Accessories</v>
      </c>
      <c r="U64" s="5">
        <f>_xlfn.XLOOKUP(P64,[2]Master_Product_Catalog!$A$2:$A$16,[2]Master_Product_Catalog!$E$2:$E$16,"Nothing")</f>
        <v>350000</v>
      </c>
      <c r="V64" s="6">
        <f>_xlfn.XLOOKUP(P64,[2]Master_Product_Catalog!$A$2:$A$16,[2]Master_Product_Catalog!$F$2:$F$16,"Nothing")</f>
        <v>200000</v>
      </c>
      <c r="W64" s="1" t="str">
        <f>_xlfn.XLOOKUP(P64,[2]Master_Product_Catalog!$A$2:$A$16,[2]Master_Product_Catalog!$G$2:$G$16,"Nothing")</f>
        <v>0.25</v>
      </c>
      <c r="X64" s="1" t="str">
        <f>_xlfn.XLOOKUP(M64,[1]Master_Customer_Profile!$A$2:$A$11,[1]Master_Customer_Profile!$D$2:$D$11)</f>
        <v>Sumatera Utara</v>
      </c>
      <c r="Y64" s="1" t="str">
        <f>_xlfn.XLOOKUP(M64,[1]Master_Customer_Profile!$A$2:$A$11,[1]Master_Customer_Profile!$G$2:$G$11)</f>
        <v>Gold</v>
      </c>
      <c r="Z64" s="1" t="str">
        <f>_xlfn.XLOOKUP(G64,[3]Master_SLA_Shipping!$A$2:$A$7,[3]Master_SLA_Shipping!$B$2:$B$7)</f>
        <v>JNE</v>
      </c>
      <c r="AA64" s="1" t="str">
        <f>_xlfn.XLOOKUP(G64,[3]Master_SLA_Shipping!$A$2:$A$7,[3]Master_SLA_Shipping!$C$2:$C$7)</f>
        <v>Overnight</v>
      </c>
      <c r="AB64" s="1">
        <f>_xlfn.XLOOKUP(G64,[3]Master_SLA_Shipping!$A$2:$A$7,[3]Master_SLA_Shipping!$D$2:$D$7)</f>
        <v>1</v>
      </c>
      <c r="AC64" s="7">
        <f>_xlfn.XLOOKUP(G64,[3]Master_SLA_Shipping!$A$2:$A$7,[3]Master_SLA_Shipping!$E$2:$E$7)</f>
        <v>25000</v>
      </c>
      <c r="AD64" s="1" t="e">
        <v>#N/A</v>
      </c>
    </row>
    <row r="65" spans="1:30" x14ac:dyDescent="0.25">
      <c r="A65" s="1" t="s">
        <v>166</v>
      </c>
      <c r="B65" s="2">
        <v>45419</v>
      </c>
      <c r="C65" s="1" t="s">
        <v>129</v>
      </c>
      <c r="D65" s="1" t="s">
        <v>167</v>
      </c>
      <c r="E65" s="1">
        <v>3</v>
      </c>
      <c r="F65" s="1" t="s">
        <v>120</v>
      </c>
      <c r="G65" s="1" t="s">
        <v>16</v>
      </c>
      <c r="H65" s="2">
        <v>45420</v>
      </c>
      <c r="I65" s="2">
        <v>45421</v>
      </c>
      <c r="J65" s="1" t="s">
        <v>70</v>
      </c>
      <c r="K65" s="1" t="s">
        <v>32</v>
      </c>
      <c r="L65" s="1" t="s">
        <v>19</v>
      </c>
      <c r="M65" s="1" t="str">
        <f t="shared" si="0"/>
        <v>CUST-004</v>
      </c>
      <c r="N65" s="1" t="str">
        <f>TRIM(PROPER(VLOOKUP(M65,[1]Master_Customer_Profile!$A$2:$B$11,2,0)))</f>
        <v>Dewi Lestari</v>
      </c>
      <c r="O65" s="4" t="str">
        <f>SUBSTITUTE(SUBSTITUTE(SUBSTITUTE(TRIM(VLOOKUP(M65,[1]Master_Customer_Profile!$A$2:$C$11,3,0)),"+",""),"62","")," ","")</f>
        <v>87855443322</v>
      </c>
      <c r="P65" s="1" t="str">
        <f t="shared" si="1"/>
        <v>PRD-FASH-001</v>
      </c>
      <c r="Q65" s="1" t="str">
        <f t="shared" si="2"/>
        <v>SISEPAT-BEST-TRX-2024-0064-PRD-FASH-001</v>
      </c>
      <c r="R65" s="1" t="str">
        <f>_xlfn.XLOOKUP(P65,[2]Master_Product_Catalog!$A$2:$A$16,[2]Master_Product_Catalog!$B$2:$B$16,"",3,1)</f>
        <v>Men Denim Jacket Vintage Blue</v>
      </c>
      <c r="S65" s="1" t="str">
        <f>_xlfn.XLOOKUP(P65,[2]Master_Product_Catalog!$A$2:$A$16,[2]Master_Product_Catalog!$C$2:$C$16,"Nothing")</f>
        <v>Fashion</v>
      </c>
      <c r="T65" s="1" t="str">
        <f>_xlfn.XLOOKUP(P65,[2]Master_Product_Catalog!$A$2:$A$16,[2]Master_Product_Catalog!$D$2:$D$16,"Nothing")</f>
        <v>Outerwear</v>
      </c>
      <c r="U65" s="5">
        <f>_xlfn.XLOOKUP(P65,[2]Master_Product_Catalog!$A$2:$A$16,[2]Master_Product_Catalog!$E$2:$E$16,"Nothing")</f>
        <v>450000</v>
      </c>
      <c r="V65" s="6">
        <f>_xlfn.XLOOKUP(P65,[2]Master_Product_Catalog!$A$2:$A$16,[2]Master_Product_Catalog!$F$2:$F$16,"Nothing")</f>
        <v>260000</v>
      </c>
      <c r="W65" s="1" t="str">
        <f>_xlfn.XLOOKUP(P65,[2]Master_Product_Catalog!$A$2:$A$16,[2]Master_Product_Catalog!$G$2:$G$16,"Nothing")</f>
        <v>0.9</v>
      </c>
      <c r="X65" s="1" t="str">
        <f>_xlfn.XLOOKUP(M65,[1]Master_Customer_Profile!$A$2:$A$11,[1]Master_Customer_Profile!$D$2:$D$11)</f>
        <v>Jawa Timur</v>
      </c>
      <c r="Y65" s="1" t="str">
        <f>_xlfn.XLOOKUP(M65,[1]Master_Customer_Profile!$A$2:$A$11,[1]Master_Customer_Profile!$G$2:$G$11)</f>
        <v>Silver</v>
      </c>
      <c r="Z65" s="1" t="str">
        <f>_xlfn.XLOOKUP(G65,[3]Master_SLA_Shipping!$A$2:$A$7,[3]Master_SLA_Shipping!$B$2:$B$7)</f>
        <v>SiCepat</v>
      </c>
      <c r="AA65" s="1" t="str">
        <f>_xlfn.XLOOKUP(G65,[3]Master_SLA_Shipping!$A$2:$A$7,[3]Master_SLA_Shipping!$C$2:$C$7)</f>
        <v>Express</v>
      </c>
      <c r="AB65" s="1">
        <f>_xlfn.XLOOKUP(G65,[3]Master_SLA_Shipping!$A$2:$A$7,[3]Master_SLA_Shipping!$D$2:$D$7)</f>
        <v>2</v>
      </c>
      <c r="AC65" s="7">
        <f>_xlfn.XLOOKUP(G65,[3]Master_SLA_Shipping!$A$2:$A$7,[3]Master_SLA_Shipping!$E$2:$E$7)</f>
        <v>16000</v>
      </c>
      <c r="AD65" s="1" t="e">
        <v>#N/A</v>
      </c>
    </row>
    <row r="66" spans="1:30" x14ac:dyDescent="0.25">
      <c r="A66" s="1" t="s">
        <v>168</v>
      </c>
      <c r="B66" s="2">
        <v>45422</v>
      </c>
      <c r="C66" s="1" t="s">
        <v>45</v>
      </c>
      <c r="D66" s="1" t="s">
        <v>59</v>
      </c>
      <c r="E66" s="1">
        <v>5</v>
      </c>
      <c r="F66" s="1" t="s">
        <v>23</v>
      </c>
      <c r="G66" s="1" t="s">
        <v>54</v>
      </c>
      <c r="H66" s="2">
        <v>45423</v>
      </c>
      <c r="I66" s="2">
        <v>45425</v>
      </c>
      <c r="J66" s="1" t="s">
        <v>17</v>
      </c>
      <c r="K66" s="1" t="s">
        <v>62</v>
      </c>
      <c r="L66" s="1" t="s">
        <v>39</v>
      </c>
      <c r="M66" s="1" t="str">
        <f t="shared" si="0"/>
        <v>CUST-004</v>
      </c>
      <c r="N66" s="1" t="str">
        <f>TRIM(PROPER(VLOOKUP(M66,[1]Master_Customer_Profile!$A$2:$B$11,2,0)))</f>
        <v>Dewi Lestari</v>
      </c>
      <c r="O66" s="4" t="str">
        <f>SUBSTITUTE(SUBSTITUTE(SUBSTITUTE(TRIM(VLOOKUP(M66,[1]Master_Customer_Profile!$A$2:$C$11,3,0)),"+",""),"62","")," ","")</f>
        <v>87855443322</v>
      </c>
      <c r="P66" s="1" t="str">
        <f t="shared" si="1"/>
        <v>PRD-HOME-003</v>
      </c>
      <c r="Q66" s="1" t="str">
        <f t="shared" si="2"/>
        <v>JNT-EXP-TRX-2024-0065-PRD-HOME-003</v>
      </c>
      <c r="R66" s="1" t="str">
        <f>_xlfn.XLOOKUP(P66,[2]Master_Product_Catalog!$A$2:$A$16,[2]Master_Product_Catalog!$B$2:$B$16,"",3,1)</f>
        <v>Stainless Steel Cookware Set 5pcs</v>
      </c>
      <c r="S66" s="1" t="str">
        <f>_xlfn.XLOOKUP(P66,[2]Master_Product_Catalog!$A$2:$A$16,[2]Master_Product_Catalog!$C$2:$C$16,"Nothing")</f>
        <v>Home &amp; Living</v>
      </c>
      <c r="T66" s="1" t="str">
        <f>_xlfn.XLOOKUP(P66,[2]Master_Product_Catalog!$A$2:$A$16,[2]Master_Product_Catalog!$D$2:$D$16,"Nothing")</f>
        <v>Kitchenware</v>
      </c>
      <c r="U66" s="5">
        <f>_xlfn.XLOOKUP(P66,[2]Master_Product_Catalog!$A$2:$A$16,[2]Master_Product_Catalog!$E$2:$E$16,"Nothing")</f>
        <v>880000</v>
      </c>
      <c r="V66" s="6">
        <f>_xlfn.XLOOKUP(P66,[2]Master_Product_Catalog!$A$2:$A$16,[2]Master_Product_Catalog!$F$2:$F$16,"Nothing")</f>
        <v>540000</v>
      </c>
      <c r="W66" s="1" t="str">
        <f>_xlfn.XLOOKUP(P66,[2]Master_Product_Catalog!$A$2:$A$16,[2]Master_Product_Catalog!$G$2:$G$16,"Nothing")</f>
        <v>3.8</v>
      </c>
      <c r="X66" s="1" t="str">
        <f>_xlfn.XLOOKUP(M66,[1]Master_Customer_Profile!$A$2:$A$11,[1]Master_Customer_Profile!$D$2:$D$11)</f>
        <v>Jawa Timur</v>
      </c>
      <c r="Y66" s="1" t="str">
        <f>_xlfn.XLOOKUP(M66,[1]Master_Customer_Profile!$A$2:$A$11,[1]Master_Customer_Profile!$G$2:$G$11)</f>
        <v>Silver</v>
      </c>
      <c r="Z66" s="1" t="str">
        <f>_xlfn.XLOOKUP(G66,[3]Master_SLA_Shipping!$A$2:$A$7,[3]Master_SLA_Shipping!$B$2:$B$7)</f>
        <v>J&amp;T Express</v>
      </c>
      <c r="AA66" s="1" t="str">
        <f>_xlfn.XLOOKUP(G66,[3]Master_SLA_Shipping!$A$2:$A$7,[3]Master_SLA_Shipping!$C$2:$C$7)</f>
        <v>Express</v>
      </c>
      <c r="AB66" s="1">
        <f>_xlfn.XLOOKUP(G66,[3]Master_SLA_Shipping!$A$2:$A$7,[3]Master_SLA_Shipping!$D$2:$D$7)</f>
        <v>2</v>
      </c>
      <c r="AC66" s="7">
        <f>_xlfn.XLOOKUP(G66,[3]Master_SLA_Shipping!$A$2:$A$7,[3]Master_SLA_Shipping!$E$2:$E$7)</f>
        <v>15000</v>
      </c>
      <c r="AD66" s="1" t="e">
        <v>#N/A</v>
      </c>
    </row>
    <row r="67" spans="1:30" x14ac:dyDescent="0.25">
      <c r="A67" s="1" t="s">
        <v>169</v>
      </c>
      <c r="B67" s="2">
        <v>45424</v>
      </c>
      <c r="C67" s="1" t="s">
        <v>45</v>
      </c>
      <c r="D67" s="1" t="s">
        <v>170</v>
      </c>
      <c r="E67" s="1">
        <v>3</v>
      </c>
      <c r="F67" s="1" t="s">
        <v>23</v>
      </c>
      <c r="G67" s="1" t="s">
        <v>37</v>
      </c>
      <c r="H67" s="2">
        <v>45427</v>
      </c>
      <c r="I67" s="2">
        <v>45429</v>
      </c>
      <c r="J67" s="1" t="s">
        <v>70</v>
      </c>
      <c r="K67" s="1" t="s">
        <v>32</v>
      </c>
      <c r="L67" s="1" t="s">
        <v>39</v>
      </c>
      <c r="M67" s="1" t="str">
        <f t="shared" ref="M67:M101" si="3">TRIM(C67)</f>
        <v>CUST-004</v>
      </c>
      <c r="N67" s="1" t="str">
        <f>TRIM(PROPER(VLOOKUP(M67,[1]Master_Customer_Profile!$A$2:$B$11,2,0)))</f>
        <v>Dewi Lestari</v>
      </c>
      <c r="O67" s="4" t="str">
        <f>SUBSTITUTE(SUBSTITUTE(SUBSTITUTE(TRIM(VLOOKUP(M67,[1]Master_Customer_Profile!$A$2:$C$11,3,0)),"+",""),"62","")," ","")</f>
        <v>87855443322</v>
      </c>
      <c r="P67" s="1" t="str">
        <f t="shared" ref="P67:P101" si="4">SUBSTITUTE(SUBSTITUTE(SUBSTITUTE(SUBSTITUTE(SUBSTITUTE(D67,"NEW-",""),"OLD_",""),"PROD_",""),"-2024",""),"-v1","")</f>
        <v>PRD-FASH-002</v>
      </c>
      <c r="Q67" s="1" t="str">
        <f t="shared" si="2"/>
        <v>JNE-REG-TRX-2024-0066-PRD-FASH-002</v>
      </c>
      <c r="R67" s="1" t="str">
        <f>_xlfn.XLOOKUP(P67,[2]Master_Product_Catalog!$A$2:$A$16,[2]Master_Product_Catalog!$B$2:$B$16,"",3,1)</f>
        <v>Women Floral Summer Dress</v>
      </c>
      <c r="S67" s="1" t="str">
        <f>_xlfn.XLOOKUP(P67,[2]Master_Product_Catalog!$A$2:$A$16,[2]Master_Product_Catalog!$C$2:$C$16,"Nothing")</f>
        <v>Fashion</v>
      </c>
      <c r="T67" s="1" t="str">
        <f>_xlfn.XLOOKUP(P67,[2]Master_Product_Catalog!$A$2:$A$16,[2]Master_Product_Catalog!$D$2:$D$16,"Nothing")</f>
        <v>Dresses</v>
      </c>
      <c r="U67" s="5">
        <f>_xlfn.XLOOKUP(P67,[2]Master_Product_Catalog!$A$2:$A$16,[2]Master_Product_Catalog!$E$2:$E$16,"Nothing")</f>
        <v>320000</v>
      </c>
      <c r="V67" s="6">
        <f>_xlfn.XLOOKUP(P67,[2]Master_Product_Catalog!$A$2:$A$16,[2]Master_Product_Catalog!$F$2:$F$16,"Nothing")</f>
        <v>180000</v>
      </c>
      <c r="W67" s="1" t="str">
        <f>_xlfn.XLOOKUP(P67,[2]Master_Product_Catalog!$A$2:$A$16,[2]Master_Product_Catalog!$G$2:$G$16,"Nothing")</f>
        <v>0.35</v>
      </c>
      <c r="X67" s="1" t="str">
        <f>_xlfn.XLOOKUP(M67,[1]Master_Customer_Profile!$A$2:$A$11,[1]Master_Customer_Profile!$D$2:$D$11)</f>
        <v>Jawa Timur</v>
      </c>
      <c r="Y67" s="1" t="str">
        <f>_xlfn.XLOOKUP(M67,[1]Master_Customer_Profile!$A$2:$A$11,[1]Master_Customer_Profile!$G$2:$G$11)</f>
        <v>Silver</v>
      </c>
      <c r="Z67" s="1" t="str">
        <f>_xlfn.XLOOKUP(G67,[3]Master_SLA_Shipping!$A$2:$A$7,[3]Master_SLA_Shipping!$B$2:$B$7)</f>
        <v>JNE</v>
      </c>
      <c r="AA67" s="1" t="str">
        <f>_xlfn.XLOOKUP(G67,[3]Master_SLA_Shipping!$A$2:$A$7,[3]Master_SLA_Shipping!$C$2:$C$7)</f>
        <v>Regular</v>
      </c>
      <c r="AB67" s="1">
        <f>_xlfn.XLOOKUP(G67,[3]Master_SLA_Shipping!$A$2:$A$7,[3]Master_SLA_Shipping!$D$2:$D$7)</f>
        <v>3</v>
      </c>
      <c r="AC67" s="7">
        <f>_xlfn.XLOOKUP(G67,[3]Master_SLA_Shipping!$A$2:$A$7,[3]Master_SLA_Shipping!$E$2:$E$7)</f>
        <v>12000</v>
      </c>
      <c r="AD67" s="1" t="e">
        <v>#N/A</v>
      </c>
    </row>
    <row r="68" spans="1:30" x14ac:dyDescent="0.25">
      <c r="A68" s="1" t="s">
        <v>171</v>
      </c>
      <c r="B68" s="2">
        <v>45426</v>
      </c>
      <c r="C68" s="1" t="s">
        <v>56</v>
      </c>
      <c r="D68" s="1" t="s">
        <v>59</v>
      </c>
      <c r="E68" s="1">
        <v>3</v>
      </c>
      <c r="F68" s="1" t="s">
        <v>120</v>
      </c>
      <c r="G68" s="1" t="s">
        <v>54</v>
      </c>
      <c r="H68" s="2">
        <v>45429</v>
      </c>
      <c r="I68" s="2">
        <v>45435</v>
      </c>
      <c r="J68" s="1" t="s">
        <v>17</v>
      </c>
      <c r="K68" s="1" t="s">
        <v>18</v>
      </c>
      <c r="L68" s="1" t="s">
        <v>27</v>
      </c>
      <c r="M68" s="1" t="str">
        <f t="shared" si="3"/>
        <v>CUST-006</v>
      </c>
      <c r="N68" s="1" t="str">
        <f>TRIM(PROPER(VLOOKUP(M68,[1]Master_Customer_Profile!$A$2:$B$11,2,0)))</f>
        <v>Rina Anggraini</v>
      </c>
      <c r="O68" s="4" t="str">
        <f>SUBSTITUTE(SUBSTITUTE(SUBSTITUTE(TRIM(VLOOKUP(M68,[1]Master_Customer_Profile!$A$2:$C$11,3,0)),"+",""),"62","")," ","")</f>
        <v>81122334455</v>
      </c>
      <c r="P68" s="1" t="str">
        <f t="shared" si="4"/>
        <v>PRD-HOME-003</v>
      </c>
      <c r="Q68" s="1" t="str">
        <f t="shared" ref="Q68:Q101" si="5">_xlfn.CONCAT(G68,"-",A68,"-",P68)</f>
        <v>JNT-EXP-TRX-2024-0067-PRD-HOME-003</v>
      </c>
      <c r="R68" s="1" t="str">
        <f>_xlfn.XLOOKUP(P68,[2]Master_Product_Catalog!$A$2:$A$16,[2]Master_Product_Catalog!$B$2:$B$16,"",3,1)</f>
        <v>Stainless Steel Cookware Set 5pcs</v>
      </c>
      <c r="S68" s="1" t="str">
        <f>_xlfn.XLOOKUP(P68,[2]Master_Product_Catalog!$A$2:$A$16,[2]Master_Product_Catalog!$C$2:$C$16,"Nothing")</f>
        <v>Home &amp; Living</v>
      </c>
      <c r="T68" s="1" t="str">
        <f>_xlfn.XLOOKUP(P68,[2]Master_Product_Catalog!$A$2:$A$16,[2]Master_Product_Catalog!$D$2:$D$16,"Nothing")</f>
        <v>Kitchenware</v>
      </c>
      <c r="U68" s="5">
        <f>_xlfn.XLOOKUP(P68,[2]Master_Product_Catalog!$A$2:$A$16,[2]Master_Product_Catalog!$E$2:$E$16,"Nothing")</f>
        <v>880000</v>
      </c>
      <c r="V68" s="6">
        <f>_xlfn.XLOOKUP(P68,[2]Master_Product_Catalog!$A$2:$A$16,[2]Master_Product_Catalog!$F$2:$F$16,"Nothing")</f>
        <v>540000</v>
      </c>
      <c r="W68" s="1" t="str">
        <f>_xlfn.XLOOKUP(P68,[2]Master_Product_Catalog!$A$2:$A$16,[2]Master_Product_Catalog!$G$2:$G$16,"Nothing")</f>
        <v>3.8</v>
      </c>
      <c r="X68" s="1" t="str">
        <f>_xlfn.XLOOKUP(M68,[1]Master_Customer_Profile!$A$2:$A$11,[1]Master_Customer_Profile!$D$2:$D$11)</f>
        <v>Banten</v>
      </c>
      <c r="Y68" s="1" t="str">
        <f>_xlfn.XLOOKUP(M68,[1]Master_Customer_Profile!$A$2:$A$11,[1]Master_Customer_Profile!$G$2:$G$11)</f>
        <v>Silver</v>
      </c>
      <c r="Z68" s="1" t="str">
        <f>_xlfn.XLOOKUP(G68,[3]Master_SLA_Shipping!$A$2:$A$7,[3]Master_SLA_Shipping!$B$2:$B$7)</f>
        <v>J&amp;T Express</v>
      </c>
      <c r="AA68" s="1" t="str">
        <f>_xlfn.XLOOKUP(G68,[3]Master_SLA_Shipping!$A$2:$A$7,[3]Master_SLA_Shipping!$C$2:$C$7)</f>
        <v>Express</v>
      </c>
      <c r="AB68" s="1">
        <f>_xlfn.XLOOKUP(G68,[3]Master_SLA_Shipping!$A$2:$A$7,[3]Master_SLA_Shipping!$D$2:$D$7)</f>
        <v>2</v>
      </c>
      <c r="AC68" s="7">
        <f>_xlfn.XLOOKUP(G68,[3]Master_SLA_Shipping!$A$2:$A$7,[3]Master_SLA_Shipping!$E$2:$E$7)</f>
        <v>15000</v>
      </c>
      <c r="AD68" s="1" t="e">
        <v>#N/A</v>
      </c>
    </row>
    <row r="69" spans="1:30" x14ac:dyDescent="0.25">
      <c r="A69" s="1" t="s">
        <v>172</v>
      </c>
      <c r="B69" s="2">
        <v>45428</v>
      </c>
      <c r="C69" s="1" t="s">
        <v>113</v>
      </c>
      <c r="D69" s="1" t="s">
        <v>173</v>
      </c>
      <c r="E69" s="1">
        <v>4</v>
      </c>
      <c r="F69" s="1" t="s">
        <v>120</v>
      </c>
      <c r="G69" s="1" t="s">
        <v>54</v>
      </c>
      <c r="H69" s="2">
        <v>45429</v>
      </c>
      <c r="I69" s="2">
        <v>45431</v>
      </c>
      <c r="J69" s="1" t="s">
        <v>70</v>
      </c>
      <c r="K69" s="1" t="s">
        <v>26</v>
      </c>
      <c r="L69" s="1" t="s">
        <v>19</v>
      </c>
      <c r="M69" s="1" t="str">
        <f t="shared" si="3"/>
        <v>CUST-003</v>
      </c>
      <c r="N69" s="1" t="str">
        <f>TRIM(PROPER(VLOOKUP(M69,[1]Master_Customer_Profile!$A$2:$B$11,2,0)))</f>
        <v>Budi Santoso</v>
      </c>
      <c r="O69" s="4" t="str">
        <f>SUBSTITUTE(SUBSTITUTE(SUBSTITUTE(TRIM(VLOOKUP(M69,[1]Master_Customer_Profile!$A$2:$C$11,3,0)),"+",""),"62","")," ","")</f>
        <v>85611223344</v>
      </c>
      <c r="P69" s="1" t="str">
        <f t="shared" si="4"/>
        <v>PRD-ELEC-004</v>
      </c>
      <c r="Q69" s="1" t="str">
        <f t="shared" si="5"/>
        <v>JNT-EXP-TRX-2024-0068-PRD-ELEC-004</v>
      </c>
      <c r="R69" s="1" t="str">
        <f>_xlfn.XLOOKUP(P69,[2]Master_Product_Catalog!$A$2:$A$16,[2]Master_Product_Catalog!$B$2:$B$16,"",3,1)</f>
        <v>Ergonomic Wireless Mouse</v>
      </c>
      <c r="S69" s="1" t="str">
        <f>_xlfn.XLOOKUP(P69,[2]Master_Product_Catalog!$A$2:$A$16,[2]Master_Product_Catalog!$C$2:$C$16,"Nothing")</f>
        <v>Electronics</v>
      </c>
      <c r="T69" s="1" t="str">
        <f>_xlfn.XLOOKUP(P69,[2]Master_Product_Catalog!$A$2:$A$16,[2]Master_Product_Catalog!$D$2:$D$16,"Nothing")</f>
        <v>Computer Accessories</v>
      </c>
      <c r="U69" s="5">
        <f>_xlfn.XLOOKUP(P69,[2]Master_Product_Catalog!$A$2:$A$16,[2]Master_Product_Catalog!$E$2:$E$16,"Nothing")</f>
        <v>350000</v>
      </c>
      <c r="V69" s="6">
        <f>_xlfn.XLOOKUP(P69,[2]Master_Product_Catalog!$A$2:$A$16,[2]Master_Product_Catalog!$F$2:$F$16,"Nothing")</f>
        <v>200000</v>
      </c>
      <c r="W69" s="1" t="str">
        <f>_xlfn.XLOOKUP(P69,[2]Master_Product_Catalog!$A$2:$A$16,[2]Master_Product_Catalog!$G$2:$G$16,"Nothing")</f>
        <v>0.25</v>
      </c>
      <c r="X69" s="1" t="str">
        <f>_xlfn.XLOOKUP(M69,[1]Master_Customer_Profile!$A$2:$A$11,[1]Master_Customer_Profile!$D$2:$D$11)</f>
        <v>Jawa Tengah</v>
      </c>
      <c r="Y69" s="1" t="str">
        <f>_xlfn.XLOOKUP(M69,[1]Master_Customer_Profile!$A$2:$A$11,[1]Master_Customer_Profile!$G$2:$G$11)</f>
        <v>Platinum</v>
      </c>
      <c r="Z69" s="1" t="str">
        <f>_xlfn.XLOOKUP(G69,[3]Master_SLA_Shipping!$A$2:$A$7,[3]Master_SLA_Shipping!$B$2:$B$7)</f>
        <v>J&amp;T Express</v>
      </c>
      <c r="AA69" s="1" t="str">
        <f>_xlfn.XLOOKUP(G69,[3]Master_SLA_Shipping!$A$2:$A$7,[3]Master_SLA_Shipping!$C$2:$C$7)</f>
        <v>Express</v>
      </c>
      <c r="AB69" s="1">
        <f>_xlfn.XLOOKUP(G69,[3]Master_SLA_Shipping!$A$2:$A$7,[3]Master_SLA_Shipping!$D$2:$D$7)</f>
        <v>2</v>
      </c>
      <c r="AC69" s="7">
        <f>_xlfn.XLOOKUP(G69,[3]Master_SLA_Shipping!$A$2:$A$7,[3]Master_SLA_Shipping!$E$2:$E$7)</f>
        <v>15000</v>
      </c>
      <c r="AD69" s="1" t="e">
        <v>#N/A</v>
      </c>
    </row>
    <row r="70" spans="1:30" x14ac:dyDescent="0.25">
      <c r="A70" s="1" t="s">
        <v>174</v>
      </c>
      <c r="B70" s="2">
        <v>45429</v>
      </c>
      <c r="C70" s="1" t="s">
        <v>45</v>
      </c>
      <c r="D70" s="1" t="s">
        <v>175</v>
      </c>
      <c r="E70" s="1">
        <v>1</v>
      </c>
      <c r="F70" s="1" t="s">
        <v>23</v>
      </c>
      <c r="G70" s="1" t="s">
        <v>54</v>
      </c>
      <c r="H70" s="2">
        <v>45432</v>
      </c>
      <c r="I70" s="2">
        <v>45434</v>
      </c>
      <c r="J70" s="1" t="s">
        <v>70</v>
      </c>
      <c r="K70" s="1" t="s">
        <v>48</v>
      </c>
      <c r="L70" s="1" t="s">
        <v>33</v>
      </c>
      <c r="M70" s="1" t="str">
        <f t="shared" si="3"/>
        <v>CUST-004</v>
      </c>
      <c r="N70" s="1" t="str">
        <f>TRIM(PROPER(VLOOKUP(M70,[1]Master_Customer_Profile!$A$2:$B$11,2,0)))</f>
        <v>Dewi Lestari</v>
      </c>
      <c r="O70" s="4" t="str">
        <f>SUBSTITUTE(SUBSTITUTE(SUBSTITUTE(TRIM(VLOOKUP(M70,[1]Master_Customer_Profile!$A$2:$C$11,3,0)),"+",""),"62","")," ","")</f>
        <v>87855443322</v>
      </c>
      <c r="P70" s="1" t="str">
        <f t="shared" si="4"/>
        <v>PRD-FASH-001</v>
      </c>
      <c r="Q70" s="1" t="str">
        <f t="shared" si="5"/>
        <v>JNT-EXP-TRX-2024-0069-PRD-FASH-001</v>
      </c>
      <c r="R70" s="1" t="str">
        <f>_xlfn.XLOOKUP(P70,[2]Master_Product_Catalog!$A$2:$A$16,[2]Master_Product_Catalog!$B$2:$B$16,"",3,1)</f>
        <v>Men Denim Jacket Vintage Blue</v>
      </c>
      <c r="S70" s="1" t="str">
        <f>_xlfn.XLOOKUP(P70,[2]Master_Product_Catalog!$A$2:$A$16,[2]Master_Product_Catalog!$C$2:$C$16,"Nothing")</f>
        <v>Fashion</v>
      </c>
      <c r="T70" s="1" t="str">
        <f>_xlfn.XLOOKUP(P70,[2]Master_Product_Catalog!$A$2:$A$16,[2]Master_Product_Catalog!$D$2:$D$16,"Nothing")</f>
        <v>Outerwear</v>
      </c>
      <c r="U70" s="5">
        <f>_xlfn.XLOOKUP(P70,[2]Master_Product_Catalog!$A$2:$A$16,[2]Master_Product_Catalog!$E$2:$E$16,"Nothing")</f>
        <v>450000</v>
      </c>
      <c r="V70" s="6">
        <f>_xlfn.XLOOKUP(P70,[2]Master_Product_Catalog!$A$2:$A$16,[2]Master_Product_Catalog!$F$2:$F$16,"Nothing")</f>
        <v>260000</v>
      </c>
      <c r="W70" s="1" t="str">
        <f>_xlfn.XLOOKUP(P70,[2]Master_Product_Catalog!$A$2:$A$16,[2]Master_Product_Catalog!$G$2:$G$16,"Nothing")</f>
        <v>0.9</v>
      </c>
      <c r="X70" s="1" t="str">
        <f>_xlfn.XLOOKUP(M70,[1]Master_Customer_Profile!$A$2:$A$11,[1]Master_Customer_Profile!$D$2:$D$11)</f>
        <v>Jawa Timur</v>
      </c>
      <c r="Y70" s="1" t="str">
        <f>_xlfn.XLOOKUP(M70,[1]Master_Customer_Profile!$A$2:$A$11,[1]Master_Customer_Profile!$G$2:$G$11)</f>
        <v>Silver</v>
      </c>
      <c r="Z70" s="1" t="str">
        <f>_xlfn.XLOOKUP(G70,[3]Master_SLA_Shipping!$A$2:$A$7,[3]Master_SLA_Shipping!$B$2:$B$7)</f>
        <v>J&amp;T Express</v>
      </c>
      <c r="AA70" s="1" t="str">
        <f>_xlfn.XLOOKUP(G70,[3]Master_SLA_Shipping!$A$2:$A$7,[3]Master_SLA_Shipping!$C$2:$C$7)</f>
        <v>Express</v>
      </c>
      <c r="AB70" s="1">
        <f>_xlfn.XLOOKUP(G70,[3]Master_SLA_Shipping!$A$2:$A$7,[3]Master_SLA_Shipping!$D$2:$D$7)</f>
        <v>2</v>
      </c>
      <c r="AC70" s="7">
        <f>_xlfn.XLOOKUP(G70,[3]Master_SLA_Shipping!$A$2:$A$7,[3]Master_SLA_Shipping!$E$2:$E$7)</f>
        <v>15000</v>
      </c>
      <c r="AD70" s="1" t="e">
        <v>#N/A</v>
      </c>
    </row>
    <row r="71" spans="1:30" x14ac:dyDescent="0.25">
      <c r="A71" s="1" t="s">
        <v>176</v>
      </c>
      <c r="B71" s="2">
        <v>45432</v>
      </c>
      <c r="C71" s="1" t="s">
        <v>135</v>
      </c>
      <c r="D71" s="1" t="s">
        <v>177</v>
      </c>
      <c r="E71" s="1">
        <v>1</v>
      </c>
      <c r="F71" s="1" t="s">
        <v>23</v>
      </c>
      <c r="G71" s="1" t="s">
        <v>37</v>
      </c>
      <c r="H71" s="2">
        <v>45434</v>
      </c>
      <c r="I71" s="2">
        <v>45436</v>
      </c>
      <c r="J71" s="1" t="s">
        <v>25</v>
      </c>
      <c r="K71" s="1" t="s">
        <v>26</v>
      </c>
      <c r="L71" s="1" t="s">
        <v>33</v>
      </c>
      <c r="M71" s="1" t="str">
        <f t="shared" si="3"/>
        <v>CUST-003</v>
      </c>
      <c r="N71" s="1" t="str">
        <f>TRIM(PROPER(VLOOKUP(M71,[1]Master_Customer_Profile!$A$2:$B$11,2,0)))</f>
        <v>Budi Santoso</v>
      </c>
      <c r="O71" s="4" t="str">
        <f>SUBSTITUTE(SUBSTITUTE(SUBSTITUTE(TRIM(VLOOKUP(M71,[1]Master_Customer_Profile!$A$2:$C$11,3,0)),"+",""),"62","")," ","")</f>
        <v>85611223344</v>
      </c>
      <c r="P71" s="1" t="str">
        <f t="shared" si="4"/>
        <v>PRD-HOME-002</v>
      </c>
      <c r="Q71" s="1" t="str">
        <f t="shared" si="5"/>
        <v>JNE-REG-TRX-2024-0070-PRD-HOME-002</v>
      </c>
      <c r="R71" s="1" t="str">
        <f>_xlfn.XLOOKUP(P71,[2]Master_Product_Catalog!$A$2:$A$16,[2]Master_Product_Catalog!$B$2:$B$16,"",3,1)</f>
        <v>Air Purifier HEPA Filter H13</v>
      </c>
      <c r="S71" s="1" t="str">
        <f>_xlfn.XLOOKUP(P71,[2]Master_Product_Catalog!$A$2:$A$16,[2]Master_Product_Catalog!$C$2:$C$16,"Nothing")</f>
        <v>Home &amp; Living</v>
      </c>
      <c r="T71" s="1" t="str">
        <f>_xlfn.XLOOKUP(P71,[2]Master_Product_Catalog!$A$2:$A$16,[2]Master_Product_Catalog!$D$2:$D$16,"Nothing")</f>
        <v>Home Appliances</v>
      </c>
      <c r="U71" s="5">
        <f>_xlfn.XLOOKUP(P71,[2]Master_Product_Catalog!$A$2:$A$16,[2]Master_Product_Catalog!$E$2:$E$16,"Nothing")</f>
        <v>1750000</v>
      </c>
      <c r="V71" s="6">
        <f>_xlfn.XLOOKUP(P71,[2]Master_Product_Catalog!$A$2:$A$16,[2]Master_Product_Catalog!$F$2:$F$16,"Nothing")</f>
        <v>1150000</v>
      </c>
      <c r="W71" s="1" t="str">
        <f>_xlfn.XLOOKUP(P71,[2]Master_Product_Catalog!$A$2:$A$16,[2]Master_Product_Catalog!$G$2:$G$16,"Nothing")</f>
        <v>3.2</v>
      </c>
      <c r="X71" s="1" t="str">
        <f>_xlfn.XLOOKUP(M71,[1]Master_Customer_Profile!$A$2:$A$11,[1]Master_Customer_Profile!$D$2:$D$11)</f>
        <v>Jawa Tengah</v>
      </c>
      <c r="Y71" s="1" t="str">
        <f>_xlfn.XLOOKUP(M71,[1]Master_Customer_Profile!$A$2:$A$11,[1]Master_Customer_Profile!$G$2:$G$11)</f>
        <v>Platinum</v>
      </c>
      <c r="Z71" s="1" t="str">
        <f>_xlfn.XLOOKUP(G71,[3]Master_SLA_Shipping!$A$2:$A$7,[3]Master_SLA_Shipping!$B$2:$B$7)</f>
        <v>JNE</v>
      </c>
      <c r="AA71" s="1" t="str">
        <f>_xlfn.XLOOKUP(G71,[3]Master_SLA_Shipping!$A$2:$A$7,[3]Master_SLA_Shipping!$C$2:$C$7)</f>
        <v>Regular</v>
      </c>
      <c r="AB71" s="1">
        <f>_xlfn.XLOOKUP(G71,[3]Master_SLA_Shipping!$A$2:$A$7,[3]Master_SLA_Shipping!$D$2:$D$7)</f>
        <v>3</v>
      </c>
      <c r="AC71" s="7">
        <f>_xlfn.XLOOKUP(G71,[3]Master_SLA_Shipping!$A$2:$A$7,[3]Master_SLA_Shipping!$E$2:$E$7)</f>
        <v>12000</v>
      </c>
      <c r="AD71" s="1" t="e">
        <v>#N/A</v>
      </c>
    </row>
    <row r="72" spans="1:30" x14ac:dyDescent="0.25">
      <c r="A72" s="1" t="s">
        <v>178</v>
      </c>
      <c r="B72" s="2">
        <v>45433</v>
      </c>
      <c r="C72" s="1" t="s">
        <v>135</v>
      </c>
      <c r="D72" s="1" t="s">
        <v>159</v>
      </c>
      <c r="E72" s="1">
        <v>1</v>
      </c>
      <c r="F72" s="1" t="s">
        <v>23</v>
      </c>
      <c r="G72" s="1" t="s">
        <v>16</v>
      </c>
      <c r="H72" s="2">
        <v>45434</v>
      </c>
      <c r="I72" s="2">
        <v>45436</v>
      </c>
      <c r="J72" s="1" t="s">
        <v>25</v>
      </c>
      <c r="K72" s="1" t="s">
        <v>62</v>
      </c>
      <c r="L72" s="1" t="s">
        <v>39</v>
      </c>
      <c r="M72" s="1" t="str">
        <f t="shared" si="3"/>
        <v>CUST-003</v>
      </c>
      <c r="N72" s="1" t="str">
        <f>TRIM(PROPER(VLOOKUP(M72,[1]Master_Customer_Profile!$A$2:$B$11,2,0)))</f>
        <v>Budi Santoso</v>
      </c>
      <c r="O72" s="4" t="str">
        <f>SUBSTITUTE(SUBSTITUTE(SUBSTITUTE(TRIM(VLOOKUP(M72,[1]Master_Customer_Profile!$A$2:$C$11,3,0)),"+",""),"62","")," ","")</f>
        <v>85611223344</v>
      </c>
      <c r="P72" s="1" t="str">
        <f t="shared" si="4"/>
        <v>PRD-ELEC-001</v>
      </c>
      <c r="Q72" s="1" t="str">
        <f t="shared" si="5"/>
        <v>SISEPAT-BEST-TRX-2024-0071-PRD-ELEC-001</v>
      </c>
      <c r="R72" s="1" t="str">
        <f>_xlfn.XLOOKUP(P72,[2]Master_Product_Catalog!$A$2:$A$16,[2]Master_Product_Catalog!$B$2:$B$16,"",3,1)</f>
        <v>Wireless Noise Cancelling Headphones</v>
      </c>
      <c r="S72" s="1" t="str">
        <f>_xlfn.XLOOKUP(P72,[2]Master_Product_Catalog!$A$2:$A$16,[2]Master_Product_Catalog!$C$2:$C$16,"Nothing")</f>
        <v>Electronics</v>
      </c>
      <c r="T72" s="1" t="str">
        <f>_xlfn.XLOOKUP(P72,[2]Master_Product_Catalog!$A$2:$A$16,[2]Master_Product_Catalog!$D$2:$D$16,"Nothing")</f>
        <v>Audio</v>
      </c>
      <c r="U72" s="5">
        <f>_xlfn.XLOOKUP(P72,[2]Master_Product_Catalog!$A$2:$A$16,[2]Master_Product_Catalog!$E$2:$E$16,"Nothing")</f>
        <v>1250000</v>
      </c>
      <c r="V72" s="6">
        <f>_xlfn.XLOOKUP(P72,[2]Master_Product_Catalog!$A$2:$A$16,[2]Master_Product_Catalog!$F$2:$F$16,"Nothing")</f>
        <v>850000</v>
      </c>
      <c r="W72" s="1" t="str">
        <f>_xlfn.XLOOKUP(P72,[2]Master_Product_Catalog!$A$2:$A$16,[2]Master_Product_Catalog!$G$2:$G$16,"Nothing")</f>
        <v>0.8</v>
      </c>
      <c r="X72" s="1" t="str">
        <f>_xlfn.XLOOKUP(M72,[1]Master_Customer_Profile!$A$2:$A$11,[1]Master_Customer_Profile!$D$2:$D$11)</f>
        <v>Jawa Tengah</v>
      </c>
      <c r="Y72" s="1" t="str">
        <f>_xlfn.XLOOKUP(M72,[1]Master_Customer_Profile!$A$2:$A$11,[1]Master_Customer_Profile!$G$2:$G$11)</f>
        <v>Platinum</v>
      </c>
      <c r="Z72" s="1" t="str">
        <f>_xlfn.XLOOKUP(G72,[3]Master_SLA_Shipping!$A$2:$A$7,[3]Master_SLA_Shipping!$B$2:$B$7)</f>
        <v>SiCepat</v>
      </c>
      <c r="AA72" s="1" t="str">
        <f>_xlfn.XLOOKUP(G72,[3]Master_SLA_Shipping!$A$2:$A$7,[3]Master_SLA_Shipping!$C$2:$C$7)</f>
        <v>Express</v>
      </c>
      <c r="AB72" s="1">
        <f>_xlfn.XLOOKUP(G72,[3]Master_SLA_Shipping!$A$2:$A$7,[3]Master_SLA_Shipping!$D$2:$D$7)</f>
        <v>2</v>
      </c>
      <c r="AC72" s="7">
        <f>_xlfn.XLOOKUP(G72,[3]Master_SLA_Shipping!$A$2:$A$7,[3]Master_SLA_Shipping!$E$2:$E$7)</f>
        <v>16000</v>
      </c>
      <c r="AD72" s="1" t="e">
        <v>#N/A</v>
      </c>
    </row>
    <row r="73" spans="1:30" x14ac:dyDescent="0.25">
      <c r="A73" s="1" t="s">
        <v>179</v>
      </c>
      <c r="B73" s="2">
        <v>45435</v>
      </c>
      <c r="C73" s="1" t="s">
        <v>113</v>
      </c>
      <c r="D73" s="1" t="s">
        <v>136</v>
      </c>
      <c r="E73" s="1">
        <v>1</v>
      </c>
      <c r="F73" s="1" t="s">
        <v>15</v>
      </c>
      <c r="G73" s="1" t="s">
        <v>16</v>
      </c>
      <c r="H73" s="2">
        <v>45437</v>
      </c>
      <c r="I73" s="2">
        <v>45440</v>
      </c>
      <c r="J73" s="1" t="s">
        <v>25</v>
      </c>
      <c r="K73" s="1" t="s">
        <v>26</v>
      </c>
      <c r="L73" s="1" t="s">
        <v>39</v>
      </c>
      <c r="M73" s="1" t="str">
        <f t="shared" si="3"/>
        <v>CUST-003</v>
      </c>
      <c r="N73" s="1" t="str">
        <f>TRIM(PROPER(VLOOKUP(M73,[1]Master_Customer_Profile!$A$2:$B$11,2,0)))</f>
        <v>Budi Santoso</v>
      </c>
      <c r="O73" s="4" t="str">
        <f>SUBSTITUTE(SUBSTITUTE(SUBSTITUTE(TRIM(VLOOKUP(M73,[1]Master_Customer_Profile!$A$2:$C$11,3,0)),"+",""),"62","")," ","")</f>
        <v>85611223344</v>
      </c>
      <c r="P73" s="1" t="str">
        <f t="shared" si="4"/>
        <v>PRD-BEAU-001</v>
      </c>
      <c r="Q73" s="1" t="str">
        <f t="shared" si="5"/>
        <v>SISEPAT-BEST-TRX-2024-0072-PRD-BEAU-001</v>
      </c>
      <c r="R73" s="1" t="str">
        <f>_xlfn.XLOOKUP(P73,[2]Master_Product_Catalog!$A$2:$A$16,[2]Master_Product_Catalog!$B$2:$B$16,"",3,1)</f>
        <v>Hydrating Serum Vitamin C 50ml</v>
      </c>
      <c r="S73" s="1" t="str">
        <f>_xlfn.XLOOKUP(P73,[2]Master_Product_Catalog!$A$2:$A$16,[2]Master_Product_Catalog!$C$2:$C$16,"Nothing")</f>
        <v>Beauty &amp; Health</v>
      </c>
      <c r="T73" s="1" t="str">
        <f>_xlfn.XLOOKUP(P73,[2]Master_Product_Catalog!$A$2:$A$16,[2]Master_Product_Catalog!$D$2:$D$16,"Nothing")</f>
        <v>Skincare</v>
      </c>
      <c r="U73" s="5">
        <f>_xlfn.XLOOKUP(P73,[2]Master_Product_Catalog!$A$2:$A$16,[2]Master_Product_Catalog!$E$2:$E$16,"Nothing")</f>
        <v>185000</v>
      </c>
      <c r="V73" s="6">
        <f>_xlfn.XLOOKUP(P73,[2]Master_Product_Catalog!$A$2:$A$16,[2]Master_Product_Catalog!$F$2:$F$16,"Nothing")</f>
        <v>85000</v>
      </c>
      <c r="W73" s="1" t="str">
        <f>_xlfn.XLOOKUP(P73,[2]Master_Product_Catalog!$A$2:$A$16,[2]Master_Product_Catalog!$G$2:$G$16,"Nothing")</f>
        <v>0.1</v>
      </c>
      <c r="X73" s="1" t="str">
        <f>_xlfn.XLOOKUP(M73,[1]Master_Customer_Profile!$A$2:$A$11,[1]Master_Customer_Profile!$D$2:$D$11)</f>
        <v>Jawa Tengah</v>
      </c>
      <c r="Y73" s="1" t="str">
        <f>_xlfn.XLOOKUP(M73,[1]Master_Customer_Profile!$A$2:$A$11,[1]Master_Customer_Profile!$G$2:$G$11)</f>
        <v>Platinum</v>
      </c>
      <c r="Z73" s="1" t="str">
        <f>_xlfn.XLOOKUP(G73,[3]Master_SLA_Shipping!$A$2:$A$7,[3]Master_SLA_Shipping!$B$2:$B$7)</f>
        <v>SiCepat</v>
      </c>
      <c r="AA73" s="1" t="str">
        <f>_xlfn.XLOOKUP(G73,[3]Master_SLA_Shipping!$A$2:$A$7,[3]Master_SLA_Shipping!$C$2:$C$7)</f>
        <v>Express</v>
      </c>
      <c r="AB73" s="1">
        <f>_xlfn.XLOOKUP(G73,[3]Master_SLA_Shipping!$A$2:$A$7,[3]Master_SLA_Shipping!$D$2:$D$7)</f>
        <v>2</v>
      </c>
      <c r="AC73" s="7">
        <f>_xlfn.XLOOKUP(G73,[3]Master_SLA_Shipping!$A$2:$A$7,[3]Master_SLA_Shipping!$E$2:$E$7)</f>
        <v>16000</v>
      </c>
      <c r="AD73" s="1" t="e">
        <v>#N/A</v>
      </c>
    </row>
    <row r="74" spans="1:30" x14ac:dyDescent="0.25">
      <c r="A74" s="1" t="s">
        <v>180</v>
      </c>
      <c r="B74" s="2">
        <v>45437</v>
      </c>
      <c r="C74" s="1" t="s">
        <v>93</v>
      </c>
      <c r="D74" s="1" t="s">
        <v>181</v>
      </c>
      <c r="E74" s="1">
        <v>4</v>
      </c>
      <c r="F74" s="1" t="s">
        <v>120</v>
      </c>
      <c r="G74" s="1" t="s">
        <v>24</v>
      </c>
      <c r="H74" s="2">
        <v>45438</v>
      </c>
      <c r="I74" s="2">
        <v>45440</v>
      </c>
      <c r="J74" s="1" t="s">
        <v>70</v>
      </c>
      <c r="K74" s="1" t="s">
        <v>26</v>
      </c>
      <c r="L74" s="1" t="s">
        <v>43</v>
      </c>
      <c r="M74" s="1" t="str">
        <f t="shared" si="3"/>
        <v>CUST-008</v>
      </c>
      <c r="N74" s="1" t="str">
        <f>TRIM(PROPER(VLOOKUP(M74,[1]Master_Customer_Profile!$A$2:$B$11,2,0)))</f>
        <v>Maya Indah Sari</v>
      </c>
      <c r="O74" s="4" t="str">
        <f>SUBSTITUTE(SUBSTITUTE(SUBSTITUTE(TRIM(VLOOKUP(M74,[1]Master_Customer_Profile!$A$2:$C$11,3,0)),"+",""),"62","")," ","")</f>
        <v>85211447788</v>
      </c>
      <c r="P74" s="1" t="str">
        <f t="shared" si="4"/>
        <v>PRD-ELEC-005</v>
      </c>
      <c r="Q74" s="1" t="str">
        <f t="shared" si="5"/>
        <v>JNT-REG-TRX-2024-0073-PRD-ELEC-005</v>
      </c>
      <c r="R74" s="1" t="str">
        <f>_xlfn.XLOOKUP(P74,[2]Master_Product_Catalog!$A$2:$A$16,[2]Master_Product_Catalog!$B$2:$B$16,"",3,1)</f>
        <v>Ultra HD Webcam 4K Pro</v>
      </c>
      <c r="S74" s="1" t="str">
        <f>_xlfn.XLOOKUP(P74,[2]Master_Product_Catalog!$A$2:$A$16,[2]Master_Product_Catalog!$C$2:$C$16,"Nothing")</f>
        <v>Electronics</v>
      </c>
      <c r="T74" s="1" t="str">
        <f>_xlfn.XLOOKUP(P74,[2]Master_Product_Catalog!$A$2:$A$16,[2]Master_Product_Catalog!$D$2:$D$16,"Nothing")</f>
        <v>Computer Accessories</v>
      </c>
      <c r="U74" s="5">
        <f>_xlfn.XLOOKUP(P74,[2]Master_Product_Catalog!$A$2:$A$16,[2]Master_Product_Catalog!$E$2:$E$16,"Nothing")</f>
        <v>1100000</v>
      </c>
      <c r="V74" s="6">
        <f>_xlfn.XLOOKUP(P74,[2]Master_Product_Catalog!$A$2:$A$16,[2]Master_Product_Catalog!$F$2:$F$16,"Nothing")</f>
        <v>720000</v>
      </c>
      <c r="W74" s="1" t="str">
        <f>_xlfn.XLOOKUP(P74,[2]Master_Product_Catalog!$A$2:$A$16,[2]Master_Product_Catalog!$G$2:$G$16,"Nothing")</f>
        <v>0.4</v>
      </c>
      <c r="X74" s="1" t="str">
        <f>_xlfn.XLOOKUP(M74,[1]Master_Customer_Profile!$A$2:$A$11,[1]Master_Customer_Profile!$D$2:$D$11)</f>
        <v>Sumatera Utara</v>
      </c>
      <c r="Y74" s="1" t="str">
        <f>_xlfn.XLOOKUP(M74,[1]Master_Customer_Profile!$A$2:$A$11,[1]Master_Customer_Profile!$G$2:$G$11)</f>
        <v>Gold</v>
      </c>
      <c r="Z74" s="1" t="str">
        <f>_xlfn.XLOOKUP(G74,[3]Master_SLA_Shipping!$A$2:$A$7,[3]Master_SLA_Shipping!$B$2:$B$7)</f>
        <v>J&amp;T Express</v>
      </c>
      <c r="AA74" s="1" t="str">
        <f>_xlfn.XLOOKUP(G74,[3]Master_SLA_Shipping!$A$2:$A$7,[3]Master_SLA_Shipping!$C$2:$C$7)</f>
        <v>Regular</v>
      </c>
      <c r="AB74" s="1">
        <f>_xlfn.XLOOKUP(G74,[3]Master_SLA_Shipping!$A$2:$A$7,[3]Master_SLA_Shipping!$D$2:$D$7)</f>
        <v>4</v>
      </c>
      <c r="AC74" s="7">
        <f>_xlfn.XLOOKUP(G74,[3]Master_SLA_Shipping!$A$2:$A$7,[3]Master_SLA_Shipping!$E$2:$E$7)</f>
        <v>10000</v>
      </c>
      <c r="AD74" s="1" t="e">
        <v>#N/A</v>
      </c>
    </row>
    <row r="75" spans="1:30" x14ac:dyDescent="0.25">
      <c r="A75" s="1" t="s">
        <v>182</v>
      </c>
      <c r="B75" s="2">
        <v>45440</v>
      </c>
      <c r="C75" s="1" t="s">
        <v>13</v>
      </c>
      <c r="D75" s="1" t="s">
        <v>183</v>
      </c>
      <c r="E75" s="1">
        <v>5</v>
      </c>
      <c r="F75" s="1" t="s">
        <v>73</v>
      </c>
      <c r="G75" s="1" t="s">
        <v>67</v>
      </c>
      <c r="H75" s="2">
        <v>45443</v>
      </c>
      <c r="I75" s="2">
        <v>45446</v>
      </c>
      <c r="J75" s="1" t="s">
        <v>17</v>
      </c>
      <c r="K75" s="1" t="s">
        <v>18</v>
      </c>
      <c r="L75" s="1" t="s">
        <v>39</v>
      </c>
      <c r="M75" s="1" t="str">
        <f t="shared" si="3"/>
        <v>CUST-002</v>
      </c>
      <c r="N75" s="1" t="str">
        <f>TRIM(PROPER(VLOOKUP(M75,[1]Master_Customer_Profile!$A$2:$B$11,2,0)))</f>
        <v>Siti Nurhaliza</v>
      </c>
      <c r="O75" s="4" t="str">
        <f>SUBSTITUTE(SUBSTITUTE(SUBSTITUTE(TRIM(VLOOKUP(M75,[1]Master_Customer_Profile!$A$2:$C$11,3,0)),"+",""),"62","")," ","")</f>
        <v>8189876543</v>
      </c>
      <c r="P75" s="1" t="str">
        <f t="shared" si="4"/>
        <v>PRD-ELEC-003</v>
      </c>
      <c r="Q75" s="1" t="str">
        <f t="shared" si="5"/>
        <v>SISEPAT-GOKIL-TRX-2024-0074-PRD-ELEC-003</v>
      </c>
      <c r="R75" s="1" t="str">
        <f>_xlfn.XLOOKUP(P75,[2]Master_Product_Catalog!$A$2:$A$16,[2]Master_Product_Catalog!$B$2:$B$16,"",3,1)</f>
        <v>Mechanical Gaming Keyboard RGB</v>
      </c>
      <c r="S75" s="1" t="str">
        <f>_xlfn.XLOOKUP(P75,[2]Master_Product_Catalog!$A$2:$A$16,[2]Master_Product_Catalog!$C$2:$C$16,"Nothing")</f>
        <v>Electronics</v>
      </c>
      <c r="T75" s="1" t="str">
        <f>_xlfn.XLOOKUP(P75,[2]Master_Product_Catalog!$A$2:$A$16,[2]Master_Product_Catalog!$D$2:$D$16,"Nothing")</f>
        <v>Computer Accessories</v>
      </c>
      <c r="U75" s="5">
        <f>_xlfn.XLOOKUP(P75,[2]Master_Product_Catalog!$A$2:$A$16,[2]Master_Product_Catalog!$E$2:$E$16,"Nothing")</f>
        <v>950000</v>
      </c>
      <c r="V75" s="6">
        <f>_xlfn.XLOOKUP(P75,[2]Master_Product_Catalog!$A$2:$A$16,[2]Master_Product_Catalog!$F$2:$F$16,"Nothing")</f>
        <v>600000</v>
      </c>
      <c r="W75" s="1" t="str">
        <f>_xlfn.XLOOKUP(P75,[2]Master_Product_Catalog!$A$2:$A$16,[2]Master_Product_Catalog!$G$2:$G$16,"Nothing")</f>
        <v>1.2</v>
      </c>
      <c r="X75" s="1" t="str">
        <f>_xlfn.XLOOKUP(M75,[1]Master_Customer_Profile!$A$2:$A$11,[1]Master_Customer_Profile!$D$2:$D$11)</f>
        <v>DKI Jakarta</v>
      </c>
      <c r="Y75" s="1" t="str">
        <f>_xlfn.XLOOKUP(M75,[1]Master_Customer_Profile!$A$2:$A$11,[1]Master_Customer_Profile!$G$2:$G$11)</f>
        <v>Gold</v>
      </c>
      <c r="Z75" s="1" t="str">
        <f>_xlfn.XLOOKUP(G75,[3]Master_SLA_Shipping!$A$2:$A$7,[3]Master_SLA_Shipping!$B$2:$B$7)</f>
        <v>SiCepat</v>
      </c>
      <c r="AA75" s="1" t="str">
        <f>_xlfn.XLOOKUP(G75,[3]Master_SLA_Shipping!$A$2:$A$7,[3]Master_SLA_Shipping!$C$2:$C$7)</f>
        <v>Cargo</v>
      </c>
      <c r="AB75" s="1">
        <f>_xlfn.XLOOKUP(G75,[3]Master_SLA_Shipping!$A$2:$A$7,[3]Master_SLA_Shipping!$D$2:$D$7)</f>
        <v>5</v>
      </c>
      <c r="AC75" s="7">
        <f>_xlfn.XLOOKUP(G75,[3]Master_SLA_Shipping!$A$2:$A$7,[3]Master_SLA_Shipping!$E$2:$E$7)</f>
        <v>8000</v>
      </c>
      <c r="AD75" s="1" t="e">
        <v>#N/A</v>
      </c>
    </row>
    <row r="76" spans="1:30" x14ac:dyDescent="0.25">
      <c r="A76" s="1" t="s">
        <v>184</v>
      </c>
      <c r="B76" s="2">
        <v>45442</v>
      </c>
      <c r="C76" s="1" t="s">
        <v>29</v>
      </c>
      <c r="D76" s="1" t="s">
        <v>185</v>
      </c>
      <c r="E76" s="1">
        <v>3</v>
      </c>
      <c r="F76" s="1" t="s">
        <v>23</v>
      </c>
      <c r="G76" s="1" t="s">
        <v>67</v>
      </c>
      <c r="H76" s="2">
        <v>45445</v>
      </c>
      <c r="I76" s="2">
        <v>45450</v>
      </c>
      <c r="J76" s="1" t="s">
        <v>31</v>
      </c>
      <c r="K76" s="1" t="s">
        <v>18</v>
      </c>
      <c r="L76" s="1" t="s">
        <v>27</v>
      </c>
      <c r="M76" s="1" t="str">
        <f t="shared" si="3"/>
        <v>CUST-005</v>
      </c>
      <c r="N76" s="1" t="str">
        <f>TRIM(PROPER(VLOOKUP(M76,[1]Master_Customer_Profile!$A$2:$B$11,2,0)))</f>
        <v>Hendra Wijaya</v>
      </c>
      <c r="O76" s="4" t="str">
        <f>SUBSTITUTE(SUBSTITUTE(SUBSTITUTE(TRIM(VLOOKUP(M76,[1]Master_Customer_Profile!$A$2:$C$11,3,0)),"+",""),"62","")," ","")</f>
        <v>8189876543</v>
      </c>
      <c r="P76" s="1" t="str">
        <f t="shared" si="4"/>
        <v>PRD-ELEC-001</v>
      </c>
      <c r="Q76" s="1" t="str">
        <f t="shared" si="5"/>
        <v>SISEPAT-GOKIL-TRX-2024-0075-PRD-ELEC-001</v>
      </c>
      <c r="R76" s="1" t="str">
        <f>_xlfn.XLOOKUP(P76,[2]Master_Product_Catalog!$A$2:$A$16,[2]Master_Product_Catalog!$B$2:$B$16,"",3,1)</f>
        <v>Wireless Noise Cancelling Headphones</v>
      </c>
      <c r="S76" s="1" t="str">
        <f>_xlfn.XLOOKUP(P76,[2]Master_Product_Catalog!$A$2:$A$16,[2]Master_Product_Catalog!$C$2:$C$16,"Nothing")</f>
        <v>Electronics</v>
      </c>
      <c r="T76" s="1" t="str">
        <f>_xlfn.XLOOKUP(P76,[2]Master_Product_Catalog!$A$2:$A$16,[2]Master_Product_Catalog!$D$2:$D$16,"Nothing")</f>
        <v>Audio</v>
      </c>
      <c r="U76" s="5">
        <f>_xlfn.XLOOKUP(P76,[2]Master_Product_Catalog!$A$2:$A$16,[2]Master_Product_Catalog!$E$2:$E$16,"Nothing")</f>
        <v>1250000</v>
      </c>
      <c r="V76" s="6">
        <f>_xlfn.XLOOKUP(P76,[2]Master_Product_Catalog!$A$2:$A$16,[2]Master_Product_Catalog!$F$2:$F$16,"Nothing")</f>
        <v>850000</v>
      </c>
      <c r="W76" s="1" t="str">
        <f>_xlfn.XLOOKUP(P76,[2]Master_Product_Catalog!$A$2:$A$16,[2]Master_Product_Catalog!$G$2:$G$16,"Nothing")</f>
        <v>0.8</v>
      </c>
      <c r="X76" s="1" t="str">
        <f>_xlfn.XLOOKUP(M76,[1]Master_Customer_Profile!$A$2:$A$11,[1]Master_Customer_Profile!$D$2:$D$11)</f>
        <v>DKI Jakarta</v>
      </c>
      <c r="Y76" s="1" t="str">
        <f>_xlfn.XLOOKUP(M76,[1]Master_Customer_Profile!$A$2:$A$11,[1]Master_Customer_Profile!$G$2:$G$11)</f>
        <v>Gold</v>
      </c>
      <c r="Z76" s="1" t="str">
        <f>_xlfn.XLOOKUP(G76,[3]Master_SLA_Shipping!$A$2:$A$7,[3]Master_SLA_Shipping!$B$2:$B$7)</f>
        <v>SiCepat</v>
      </c>
      <c r="AA76" s="1" t="str">
        <f>_xlfn.XLOOKUP(G76,[3]Master_SLA_Shipping!$A$2:$A$7,[3]Master_SLA_Shipping!$C$2:$C$7)</f>
        <v>Cargo</v>
      </c>
      <c r="AB76" s="1">
        <f>_xlfn.XLOOKUP(G76,[3]Master_SLA_Shipping!$A$2:$A$7,[3]Master_SLA_Shipping!$D$2:$D$7)</f>
        <v>5</v>
      </c>
      <c r="AC76" s="7">
        <f>_xlfn.XLOOKUP(G76,[3]Master_SLA_Shipping!$A$2:$A$7,[3]Master_SLA_Shipping!$E$2:$E$7)</f>
        <v>8000</v>
      </c>
      <c r="AD76" s="1" t="e">
        <v>#N/A</v>
      </c>
    </row>
    <row r="77" spans="1:30" x14ac:dyDescent="0.25">
      <c r="A77" s="1" t="s">
        <v>186</v>
      </c>
      <c r="B77" s="2">
        <v>45443</v>
      </c>
      <c r="C77" s="1" t="s">
        <v>129</v>
      </c>
      <c r="D77" s="1" t="s">
        <v>36</v>
      </c>
      <c r="E77" s="1">
        <v>2</v>
      </c>
      <c r="F77" s="1" t="s">
        <v>23</v>
      </c>
      <c r="G77" s="1" t="s">
        <v>54</v>
      </c>
      <c r="H77" s="2">
        <v>45444</v>
      </c>
      <c r="I77" s="2">
        <v>45450</v>
      </c>
      <c r="J77" s="1" t="s">
        <v>17</v>
      </c>
      <c r="K77" s="1" t="s">
        <v>32</v>
      </c>
      <c r="L77" s="1" t="s">
        <v>27</v>
      </c>
      <c r="M77" s="1" t="str">
        <f t="shared" si="3"/>
        <v>CUST-004</v>
      </c>
      <c r="N77" s="1" t="str">
        <f>TRIM(PROPER(VLOOKUP(M77,[1]Master_Customer_Profile!$A$2:$B$11,2,0)))</f>
        <v>Dewi Lestari</v>
      </c>
      <c r="O77" s="4" t="str">
        <f>SUBSTITUTE(SUBSTITUTE(SUBSTITUTE(TRIM(VLOOKUP(M77,[1]Master_Customer_Profile!$A$2:$C$11,3,0)),"+",""),"62","")," ","")</f>
        <v>87855443322</v>
      </c>
      <c r="P77" s="1" t="str">
        <f t="shared" si="4"/>
        <v>PRD-FASH-002</v>
      </c>
      <c r="Q77" s="1" t="str">
        <f t="shared" si="5"/>
        <v>JNT-EXP-TRX-2024-0076-PRD-FASH-002</v>
      </c>
      <c r="R77" s="1" t="str">
        <f>_xlfn.XLOOKUP(P77,[2]Master_Product_Catalog!$A$2:$A$16,[2]Master_Product_Catalog!$B$2:$B$16,"",3,1)</f>
        <v>Women Floral Summer Dress</v>
      </c>
      <c r="S77" s="1" t="str">
        <f>_xlfn.XLOOKUP(P77,[2]Master_Product_Catalog!$A$2:$A$16,[2]Master_Product_Catalog!$C$2:$C$16,"Nothing")</f>
        <v>Fashion</v>
      </c>
      <c r="T77" s="1" t="str">
        <f>_xlfn.XLOOKUP(P77,[2]Master_Product_Catalog!$A$2:$A$16,[2]Master_Product_Catalog!$D$2:$D$16,"Nothing")</f>
        <v>Dresses</v>
      </c>
      <c r="U77" s="5">
        <f>_xlfn.XLOOKUP(P77,[2]Master_Product_Catalog!$A$2:$A$16,[2]Master_Product_Catalog!$E$2:$E$16,"Nothing")</f>
        <v>320000</v>
      </c>
      <c r="V77" s="6">
        <f>_xlfn.XLOOKUP(P77,[2]Master_Product_Catalog!$A$2:$A$16,[2]Master_Product_Catalog!$F$2:$F$16,"Nothing")</f>
        <v>180000</v>
      </c>
      <c r="W77" s="1" t="str">
        <f>_xlfn.XLOOKUP(P77,[2]Master_Product_Catalog!$A$2:$A$16,[2]Master_Product_Catalog!$G$2:$G$16,"Nothing")</f>
        <v>0.35</v>
      </c>
      <c r="X77" s="1" t="str">
        <f>_xlfn.XLOOKUP(M77,[1]Master_Customer_Profile!$A$2:$A$11,[1]Master_Customer_Profile!$D$2:$D$11)</f>
        <v>Jawa Timur</v>
      </c>
      <c r="Y77" s="1" t="str">
        <f>_xlfn.XLOOKUP(M77,[1]Master_Customer_Profile!$A$2:$A$11,[1]Master_Customer_Profile!$G$2:$G$11)</f>
        <v>Silver</v>
      </c>
      <c r="Z77" s="1" t="str">
        <f>_xlfn.XLOOKUP(G77,[3]Master_SLA_Shipping!$A$2:$A$7,[3]Master_SLA_Shipping!$B$2:$B$7)</f>
        <v>J&amp;T Express</v>
      </c>
      <c r="AA77" s="1" t="str">
        <f>_xlfn.XLOOKUP(G77,[3]Master_SLA_Shipping!$A$2:$A$7,[3]Master_SLA_Shipping!$C$2:$C$7)</f>
        <v>Express</v>
      </c>
      <c r="AB77" s="1">
        <f>_xlfn.XLOOKUP(G77,[3]Master_SLA_Shipping!$A$2:$A$7,[3]Master_SLA_Shipping!$D$2:$D$7)</f>
        <v>2</v>
      </c>
      <c r="AC77" s="7">
        <f>_xlfn.XLOOKUP(G77,[3]Master_SLA_Shipping!$A$2:$A$7,[3]Master_SLA_Shipping!$E$2:$E$7)</f>
        <v>15000</v>
      </c>
      <c r="AD77" s="1" t="e">
        <v>#N/A</v>
      </c>
    </row>
    <row r="78" spans="1:30" x14ac:dyDescent="0.25">
      <c r="A78" s="1" t="s">
        <v>187</v>
      </c>
      <c r="B78" s="2">
        <v>45446</v>
      </c>
      <c r="C78" s="1" t="s">
        <v>29</v>
      </c>
      <c r="D78" s="1" t="s">
        <v>164</v>
      </c>
      <c r="E78" s="1">
        <v>3</v>
      </c>
      <c r="F78" s="1" t="s">
        <v>47</v>
      </c>
      <c r="G78" s="1" t="s">
        <v>42</v>
      </c>
      <c r="H78" s="2">
        <v>45449</v>
      </c>
      <c r="I78" s="2">
        <v>45453</v>
      </c>
      <c r="J78" s="1" t="s">
        <v>25</v>
      </c>
      <c r="K78" s="1" t="s">
        <v>62</v>
      </c>
      <c r="L78" s="1" t="s">
        <v>33</v>
      </c>
      <c r="M78" s="1" t="str">
        <f t="shared" si="3"/>
        <v>CUST-005</v>
      </c>
      <c r="N78" s="1" t="str">
        <f>TRIM(PROPER(VLOOKUP(M78,[1]Master_Customer_Profile!$A$2:$B$11,2,0)))</f>
        <v>Hendra Wijaya</v>
      </c>
      <c r="O78" s="4" t="str">
        <f>SUBSTITUTE(SUBSTITUTE(SUBSTITUTE(TRIM(VLOOKUP(M78,[1]Master_Customer_Profile!$A$2:$C$11,3,0)),"+",""),"62","")," ","")</f>
        <v>8189876543</v>
      </c>
      <c r="P78" s="1" t="str">
        <f t="shared" si="4"/>
        <v>PRD-HOME-001</v>
      </c>
      <c r="Q78" s="1" t="str">
        <f t="shared" si="5"/>
        <v>JNE-YES-TRX-2024-0077-PRD-HOME-001</v>
      </c>
      <c r="R78" s="1" t="str">
        <f>_xlfn.XLOOKUP(P78,[2]Master_Product_Catalog!$A$2:$A$16,[2]Master_Product_Catalog!$B$2:$B$16,"",3,1)</f>
        <v>Automatic Coffee Espresso Machine</v>
      </c>
      <c r="S78" s="1" t="str">
        <f>_xlfn.XLOOKUP(P78,[2]Master_Product_Catalog!$A$2:$A$16,[2]Master_Product_Catalog!$C$2:$C$16,"Nothing")</f>
        <v>Home &amp; Living</v>
      </c>
      <c r="T78" s="1" t="str">
        <f>_xlfn.XLOOKUP(P78,[2]Master_Product_Catalog!$A$2:$A$16,[2]Master_Product_Catalog!$D$2:$D$16,"Nothing")</f>
        <v>Kitchen Appliances</v>
      </c>
      <c r="U78" s="5">
        <f>_xlfn.XLOOKUP(P78,[2]Master_Product_Catalog!$A$2:$A$16,[2]Master_Product_Catalog!$E$2:$E$16,"Nothing")</f>
        <v>2400000</v>
      </c>
      <c r="V78" s="6">
        <f>_xlfn.XLOOKUP(P78,[2]Master_Product_Catalog!$A$2:$A$16,[2]Master_Product_Catalog!$F$2:$F$16,"Nothing")</f>
        <v>1650000</v>
      </c>
      <c r="W78" s="1" t="str">
        <f>_xlfn.XLOOKUP(P78,[2]Master_Product_Catalog!$A$2:$A$16,[2]Master_Product_Catalog!$G$2:$G$16,"Nothing")</f>
        <v>4.5</v>
      </c>
      <c r="X78" s="1" t="str">
        <f>_xlfn.XLOOKUP(M78,[1]Master_Customer_Profile!$A$2:$A$11,[1]Master_Customer_Profile!$D$2:$D$11)</f>
        <v>DKI Jakarta</v>
      </c>
      <c r="Y78" s="1" t="str">
        <f>_xlfn.XLOOKUP(M78,[1]Master_Customer_Profile!$A$2:$A$11,[1]Master_Customer_Profile!$G$2:$G$11)</f>
        <v>Gold</v>
      </c>
      <c r="Z78" s="1" t="str">
        <f>_xlfn.XLOOKUP(G78,[3]Master_SLA_Shipping!$A$2:$A$7,[3]Master_SLA_Shipping!$B$2:$B$7)</f>
        <v>JNE</v>
      </c>
      <c r="AA78" s="1" t="str">
        <f>_xlfn.XLOOKUP(G78,[3]Master_SLA_Shipping!$A$2:$A$7,[3]Master_SLA_Shipping!$C$2:$C$7)</f>
        <v>Overnight</v>
      </c>
      <c r="AB78" s="1">
        <f>_xlfn.XLOOKUP(G78,[3]Master_SLA_Shipping!$A$2:$A$7,[3]Master_SLA_Shipping!$D$2:$D$7)</f>
        <v>1</v>
      </c>
      <c r="AC78" s="7">
        <f>_xlfn.XLOOKUP(G78,[3]Master_SLA_Shipping!$A$2:$A$7,[3]Master_SLA_Shipping!$E$2:$E$7)</f>
        <v>25000</v>
      </c>
      <c r="AD78" s="1" t="e">
        <v>#N/A</v>
      </c>
    </row>
    <row r="79" spans="1:30" x14ac:dyDescent="0.25">
      <c r="A79" s="1" t="s">
        <v>188</v>
      </c>
      <c r="B79" s="2">
        <v>45447</v>
      </c>
      <c r="C79" s="1" t="s">
        <v>93</v>
      </c>
      <c r="D79" s="1" t="s">
        <v>189</v>
      </c>
      <c r="E79" s="1">
        <v>1</v>
      </c>
      <c r="F79" s="1" t="s">
        <v>47</v>
      </c>
      <c r="G79" s="1" t="s">
        <v>54</v>
      </c>
      <c r="H79" s="2">
        <v>45448</v>
      </c>
      <c r="I79" s="2">
        <v>45453</v>
      </c>
      <c r="J79" s="1" t="s">
        <v>38</v>
      </c>
      <c r="K79" s="1" t="s">
        <v>26</v>
      </c>
      <c r="L79" s="1" t="s">
        <v>33</v>
      </c>
      <c r="M79" s="1" t="str">
        <f t="shared" si="3"/>
        <v>CUST-008</v>
      </c>
      <c r="N79" s="1" t="str">
        <f>TRIM(PROPER(VLOOKUP(M79,[1]Master_Customer_Profile!$A$2:$B$11,2,0)))</f>
        <v>Maya Indah Sari</v>
      </c>
      <c r="O79" s="4" t="str">
        <f>SUBSTITUTE(SUBSTITUTE(SUBSTITUTE(TRIM(VLOOKUP(M79,[1]Master_Customer_Profile!$A$2:$C$11,3,0)),"+",""),"62","")," ","")</f>
        <v>85211447788</v>
      </c>
      <c r="P79" s="1" t="str">
        <f t="shared" si="4"/>
        <v>PRD-FASH-003</v>
      </c>
      <c r="Q79" s="1" t="str">
        <f t="shared" si="5"/>
        <v>JNT-EXP-TRX-2024-0078-PRD-FASH-003</v>
      </c>
      <c r="R79" s="1" t="str">
        <f>_xlfn.XLOOKUP(P79,[2]Master_Product_Catalog!$A$2:$A$16,[2]Master_Product_Catalog!$B$2:$B$16,"",3,1)</f>
        <v>Unisex Canvas Sneakers White</v>
      </c>
      <c r="S79" s="1" t="str">
        <f>_xlfn.XLOOKUP(P79,[2]Master_Product_Catalog!$A$2:$A$16,[2]Master_Product_Catalog!$C$2:$C$16,"Nothing")</f>
        <v>Fashion</v>
      </c>
      <c r="T79" s="1" t="str">
        <f>_xlfn.XLOOKUP(P79,[2]Master_Product_Catalog!$A$2:$A$16,[2]Master_Product_Catalog!$D$2:$D$16,"Nothing")</f>
        <v>Footwear</v>
      </c>
      <c r="U79" s="5">
        <f>_xlfn.XLOOKUP(P79,[2]Master_Product_Catalog!$A$2:$A$16,[2]Master_Product_Catalog!$E$2:$E$16,"Nothing")</f>
        <v>520000</v>
      </c>
      <c r="V79" s="6">
        <f>_xlfn.XLOOKUP(P79,[2]Master_Product_Catalog!$A$2:$A$16,[2]Master_Product_Catalog!$F$2:$F$16,"Nothing")</f>
        <v>310000</v>
      </c>
      <c r="W79" s="1" t="str">
        <f>_xlfn.XLOOKUP(P79,[2]Master_Product_Catalog!$A$2:$A$16,[2]Master_Product_Catalog!$G$2:$G$16,"Nothing")</f>
        <v>1.1</v>
      </c>
      <c r="X79" s="1" t="str">
        <f>_xlfn.XLOOKUP(M79,[1]Master_Customer_Profile!$A$2:$A$11,[1]Master_Customer_Profile!$D$2:$D$11)</f>
        <v>Sumatera Utara</v>
      </c>
      <c r="Y79" s="1" t="str">
        <f>_xlfn.XLOOKUP(M79,[1]Master_Customer_Profile!$A$2:$A$11,[1]Master_Customer_Profile!$G$2:$G$11)</f>
        <v>Gold</v>
      </c>
      <c r="Z79" s="1" t="str">
        <f>_xlfn.XLOOKUP(G79,[3]Master_SLA_Shipping!$A$2:$A$7,[3]Master_SLA_Shipping!$B$2:$B$7)</f>
        <v>J&amp;T Express</v>
      </c>
      <c r="AA79" s="1" t="str">
        <f>_xlfn.XLOOKUP(G79,[3]Master_SLA_Shipping!$A$2:$A$7,[3]Master_SLA_Shipping!$C$2:$C$7)</f>
        <v>Express</v>
      </c>
      <c r="AB79" s="1">
        <f>_xlfn.XLOOKUP(G79,[3]Master_SLA_Shipping!$A$2:$A$7,[3]Master_SLA_Shipping!$D$2:$D$7)</f>
        <v>2</v>
      </c>
      <c r="AC79" s="7">
        <f>_xlfn.XLOOKUP(G79,[3]Master_SLA_Shipping!$A$2:$A$7,[3]Master_SLA_Shipping!$E$2:$E$7)</f>
        <v>15000</v>
      </c>
      <c r="AD79" s="1" t="e">
        <v>#N/A</v>
      </c>
    </row>
    <row r="80" spans="1:30" x14ac:dyDescent="0.25">
      <c r="A80" s="1" t="s">
        <v>190</v>
      </c>
      <c r="B80" s="2">
        <v>45450</v>
      </c>
      <c r="C80" s="1" t="s">
        <v>133</v>
      </c>
      <c r="D80" s="1" t="s">
        <v>191</v>
      </c>
      <c r="E80" s="1">
        <v>3</v>
      </c>
      <c r="F80" s="1" t="s">
        <v>23</v>
      </c>
      <c r="G80" s="1" t="s">
        <v>42</v>
      </c>
      <c r="H80" s="2">
        <v>45451</v>
      </c>
      <c r="I80" s="2">
        <v>45455</v>
      </c>
      <c r="J80" s="1" t="s">
        <v>25</v>
      </c>
      <c r="K80" s="1" t="s">
        <v>48</v>
      </c>
      <c r="L80" s="1" t="s">
        <v>39</v>
      </c>
      <c r="M80" s="1" t="str">
        <f t="shared" si="3"/>
        <v>CUST-010</v>
      </c>
      <c r="N80" s="1" t="str">
        <f>TRIM(PROPER(VLOOKUP(M80,[1]Master_Customer_Profile!$A$2:$B$11,2,0)))</f>
        <v>Valentina Rosi</v>
      </c>
      <c r="O80" s="4" t="str">
        <f>SUBSTITUTE(SUBSTITUTE(SUBSTITUTE(TRIM(VLOOKUP(M80,[1]Master_Customer_Profile!$A$2:$C$11,3,0)),"+",""),"62","")," ","")</f>
        <v>81377665544</v>
      </c>
      <c r="P80" s="1" t="str">
        <f t="shared" si="4"/>
        <v>PRD-HOME-001</v>
      </c>
      <c r="Q80" s="1" t="str">
        <f t="shared" si="5"/>
        <v>JNE-YES-TRX-2024-0079-PRD-HOME-001</v>
      </c>
      <c r="R80" s="1" t="str">
        <f>_xlfn.XLOOKUP(P80,[2]Master_Product_Catalog!$A$2:$A$16,[2]Master_Product_Catalog!$B$2:$B$16,"",3,1)</f>
        <v>Automatic Coffee Espresso Machine</v>
      </c>
      <c r="S80" s="1" t="str">
        <f>_xlfn.XLOOKUP(P80,[2]Master_Product_Catalog!$A$2:$A$16,[2]Master_Product_Catalog!$C$2:$C$16,"Nothing")</f>
        <v>Home &amp; Living</v>
      </c>
      <c r="T80" s="1" t="str">
        <f>_xlfn.XLOOKUP(P80,[2]Master_Product_Catalog!$A$2:$A$16,[2]Master_Product_Catalog!$D$2:$D$16,"Nothing")</f>
        <v>Kitchen Appliances</v>
      </c>
      <c r="U80" s="5">
        <f>_xlfn.XLOOKUP(P80,[2]Master_Product_Catalog!$A$2:$A$16,[2]Master_Product_Catalog!$E$2:$E$16,"Nothing")</f>
        <v>2400000</v>
      </c>
      <c r="V80" s="6">
        <f>_xlfn.XLOOKUP(P80,[2]Master_Product_Catalog!$A$2:$A$16,[2]Master_Product_Catalog!$F$2:$F$16,"Nothing")</f>
        <v>1650000</v>
      </c>
      <c r="W80" s="1" t="str">
        <f>_xlfn.XLOOKUP(P80,[2]Master_Product_Catalog!$A$2:$A$16,[2]Master_Product_Catalog!$G$2:$G$16,"Nothing")</f>
        <v>4.5</v>
      </c>
      <c r="X80" s="1" t="str">
        <f>_xlfn.XLOOKUP(M80,[1]Master_Customer_Profile!$A$2:$A$11,[1]Master_Customer_Profile!$D$2:$D$11)</f>
        <v>Bali</v>
      </c>
      <c r="Y80" s="1" t="str">
        <f>_xlfn.XLOOKUP(M80,[1]Master_Customer_Profile!$A$2:$A$11,[1]Master_Customer_Profile!$G$2:$G$11)</f>
        <v>VIP</v>
      </c>
      <c r="Z80" s="1" t="str">
        <f>_xlfn.XLOOKUP(G80,[3]Master_SLA_Shipping!$A$2:$A$7,[3]Master_SLA_Shipping!$B$2:$B$7)</f>
        <v>JNE</v>
      </c>
      <c r="AA80" s="1" t="str">
        <f>_xlfn.XLOOKUP(G80,[3]Master_SLA_Shipping!$A$2:$A$7,[3]Master_SLA_Shipping!$C$2:$C$7)</f>
        <v>Overnight</v>
      </c>
      <c r="AB80" s="1">
        <f>_xlfn.XLOOKUP(G80,[3]Master_SLA_Shipping!$A$2:$A$7,[3]Master_SLA_Shipping!$D$2:$D$7)</f>
        <v>1</v>
      </c>
      <c r="AC80" s="7">
        <f>_xlfn.XLOOKUP(G80,[3]Master_SLA_Shipping!$A$2:$A$7,[3]Master_SLA_Shipping!$E$2:$E$7)</f>
        <v>25000</v>
      </c>
      <c r="AD80" s="1" t="e">
        <v>#N/A</v>
      </c>
    </row>
    <row r="81" spans="1:30" x14ac:dyDescent="0.25">
      <c r="A81" s="1" t="s">
        <v>192</v>
      </c>
      <c r="B81" s="2">
        <v>45452</v>
      </c>
      <c r="C81" s="1" t="s">
        <v>90</v>
      </c>
      <c r="D81" s="1" t="s">
        <v>177</v>
      </c>
      <c r="E81" s="1">
        <v>1</v>
      </c>
      <c r="F81" s="1" t="s">
        <v>47</v>
      </c>
      <c r="G81" s="1" t="s">
        <v>67</v>
      </c>
      <c r="H81" s="2">
        <v>45453</v>
      </c>
      <c r="I81" s="2">
        <v>45459</v>
      </c>
      <c r="J81" s="1" t="s">
        <v>38</v>
      </c>
      <c r="K81" s="1" t="s">
        <v>62</v>
      </c>
      <c r="L81" s="1" t="s">
        <v>33</v>
      </c>
      <c r="M81" s="1" t="str">
        <f t="shared" si="3"/>
        <v>CUST-007</v>
      </c>
      <c r="N81" s="1" t="str">
        <f>TRIM(PROPER(VLOOKUP(M81,[1]Master_Customer_Profile!$A$2:$B$11,2,0)))</f>
        <v>Eko Prasetyo</v>
      </c>
      <c r="O81" s="4" t="str">
        <f>SUBSTITUTE(SUBSTITUTE(SUBSTITUTE(TRIM(VLOOKUP(M81,[1]Master_Customer_Profile!$A$2:$C$11,3,0)),"+",""),"62","")," ","")</f>
        <v>8170099887</v>
      </c>
      <c r="P81" s="1" t="str">
        <f t="shared" si="4"/>
        <v>PRD-HOME-002</v>
      </c>
      <c r="Q81" s="1" t="str">
        <f t="shared" si="5"/>
        <v>SISEPAT-GOKIL-TRX-2024-0080-PRD-HOME-002</v>
      </c>
      <c r="R81" s="1" t="str">
        <f>_xlfn.XLOOKUP(P81,[2]Master_Product_Catalog!$A$2:$A$16,[2]Master_Product_Catalog!$B$2:$B$16,"",3,1)</f>
        <v>Air Purifier HEPA Filter H13</v>
      </c>
      <c r="S81" s="1" t="str">
        <f>_xlfn.XLOOKUP(P81,[2]Master_Product_Catalog!$A$2:$A$16,[2]Master_Product_Catalog!$C$2:$C$16,"Nothing")</f>
        <v>Home &amp; Living</v>
      </c>
      <c r="T81" s="1" t="str">
        <f>_xlfn.XLOOKUP(P81,[2]Master_Product_Catalog!$A$2:$A$16,[2]Master_Product_Catalog!$D$2:$D$16,"Nothing")</f>
        <v>Home Appliances</v>
      </c>
      <c r="U81" s="5">
        <f>_xlfn.XLOOKUP(P81,[2]Master_Product_Catalog!$A$2:$A$16,[2]Master_Product_Catalog!$E$2:$E$16,"Nothing")</f>
        <v>1750000</v>
      </c>
      <c r="V81" s="6">
        <f>_xlfn.XLOOKUP(P81,[2]Master_Product_Catalog!$A$2:$A$16,[2]Master_Product_Catalog!$F$2:$F$16,"Nothing")</f>
        <v>1150000</v>
      </c>
      <c r="W81" s="1" t="str">
        <f>_xlfn.XLOOKUP(P81,[2]Master_Product_Catalog!$A$2:$A$16,[2]Master_Product_Catalog!$G$2:$G$16,"Nothing")</f>
        <v>3.2</v>
      </c>
      <c r="X81" s="1" t="str">
        <f>_xlfn.XLOOKUP(M81,[1]Master_Customer_Profile!$A$2:$A$11,[1]Master_Customer_Profile!$D$2:$D$11)</f>
        <v>DI Yogyakarta</v>
      </c>
      <c r="Y81" s="1" t="str">
        <f>_xlfn.XLOOKUP(M81,[1]Master_Customer_Profile!$A$2:$A$11,[1]Master_Customer_Profile!$G$2:$G$11)</f>
        <v>Platinum</v>
      </c>
      <c r="Z81" s="1" t="str">
        <f>_xlfn.XLOOKUP(G81,[3]Master_SLA_Shipping!$A$2:$A$7,[3]Master_SLA_Shipping!$B$2:$B$7)</f>
        <v>SiCepat</v>
      </c>
      <c r="AA81" s="1" t="str">
        <f>_xlfn.XLOOKUP(G81,[3]Master_SLA_Shipping!$A$2:$A$7,[3]Master_SLA_Shipping!$C$2:$C$7)</f>
        <v>Cargo</v>
      </c>
      <c r="AB81" s="1">
        <f>_xlfn.XLOOKUP(G81,[3]Master_SLA_Shipping!$A$2:$A$7,[3]Master_SLA_Shipping!$D$2:$D$7)</f>
        <v>5</v>
      </c>
      <c r="AC81" s="7">
        <f>_xlfn.XLOOKUP(G81,[3]Master_SLA_Shipping!$A$2:$A$7,[3]Master_SLA_Shipping!$E$2:$E$7)</f>
        <v>8000</v>
      </c>
      <c r="AD81" s="1" t="e">
        <v>#N/A</v>
      </c>
    </row>
    <row r="82" spans="1:30" x14ac:dyDescent="0.25">
      <c r="A82" s="1" t="s">
        <v>193</v>
      </c>
      <c r="B82" s="2">
        <v>45454</v>
      </c>
      <c r="C82" s="1" t="s">
        <v>135</v>
      </c>
      <c r="D82" s="1" t="s">
        <v>167</v>
      </c>
      <c r="E82" s="1">
        <v>4</v>
      </c>
      <c r="F82" s="1" t="s">
        <v>120</v>
      </c>
      <c r="G82" s="1" t="s">
        <v>54</v>
      </c>
      <c r="H82" s="2">
        <v>45455</v>
      </c>
      <c r="I82" s="2">
        <v>45457</v>
      </c>
      <c r="J82" s="1" t="s">
        <v>31</v>
      </c>
      <c r="K82" s="1" t="s">
        <v>26</v>
      </c>
      <c r="L82" s="1" t="s">
        <v>43</v>
      </c>
      <c r="M82" s="1" t="str">
        <f t="shared" si="3"/>
        <v>CUST-003</v>
      </c>
      <c r="N82" s="1" t="str">
        <f>TRIM(PROPER(VLOOKUP(M82,[1]Master_Customer_Profile!$A$2:$B$11,2,0)))</f>
        <v>Budi Santoso</v>
      </c>
      <c r="O82" s="4" t="str">
        <f>SUBSTITUTE(SUBSTITUTE(SUBSTITUTE(TRIM(VLOOKUP(M82,[1]Master_Customer_Profile!$A$2:$C$11,3,0)),"+",""),"62","")," ","")</f>
        <v>85611223344</v>
      </c>
      <c r="P82" s="1" t="str">
        <f t="shared" si="4"/>
        <v>PRD-FASH-001</v>
      </c>
      <c r="Q82" s="1" t="str">
        <f t="shared" si="5"/>
        <v>JNT-EXP-TRX-2024-0081-PRD-FASH-001</v>
      </c>
      <c r="R82" s="1" t="str">
        <f>_xlfn.XLOOKUP(P82,[2]Master_Product_Catalog!$A$2:$A$16,[2]Master_Product_Catalog!$B$2:$B$16,"",3,1)</f>
        <v>Men Denim Jacket Vintage Blue</v>
      </c>
      <c r="S82" s="1" t="str">
        <f>_xlfn.XLOOKUP(P82,[2]Master_Product_Catalog!$A$2:$A$16,[2]Master_Product_Catalog!$C$2:$C$16,"Nothing")</f>
        <v>Fashion</v>
      </c>
      <c r="T82" s="1" t="str">
        <f>_xlfn.XLOOKUP(P82,[2]Master_Product_Catalog!$A$2:$A$16,[2]Master_Product_Catalog!$D$2:$D$16,"Nothing")</f>
        <v>Outerwear</v>
      </c>
      <c r="U82" s="5">
        <f>_xlfn.XLOOKUP(P82,[2]Master_Product_Catalog!$A$2:$A$16,[2]Master_Product_Catalog!$E$2:$E$16,"Nothing")</f>
        <v>450000</v>
      </c>
      <c r="V82" s="6">
        <f>_xlfn.XLOOKUP(P82,[2]Master_Product_Catalog!$A$2:$A$16,[2]Master_Product_Catalog!$F$2:$F$16,"Nothing")</f>
        <v>260000</v>
      </c>
      <c r="W82" s="1" t="str">
        <f>_xlfn.XLOOKUP(P82,[2]Master_Product_Catalog!$A$2:$A$16,[2]Master_Product_Catalog!$G$2:$G$16,"Nothing")</f>
        <v>0.9</v>
      </c>
      <c r="X82" s="1" t="str">
        <f>_xlfn.XLOOKUP(M82,[1]Master_Customer_Profile!$A$2:$A$11,[1]Master_Customer_Profile!$D$2:$D$11)</f>
        <v>Jawa Tengah</v>
      </c>
      <c r="Y82" s="1" t="str">
        <f>_xlfn.XLOOKUP(M82,[1]Master_Customer_Profile!$A$2:$A$11,[1]Master_Customer_Profile!$G$2:$G$11)</f>
        <v>Platinum</v>
      </c>
      <c r="Z82" s="1" t="str">
        <f>_xlfn.XLOOKUP(G82,[3]Master_SLA_Shipping!$A$2:$A$7,[3]Master_SLA_Shipping!$B$2:$B$7)</f>
        <v>J&amp;T Express</v>
      </c>
      <c r="AA82" s="1" t="str">
        <f>_xlfn.XLOOKUP(G82,[3]Master_SLA_Shipping!$A$2:$A$7,[3]Master_SLA_Shipping!$C$2:$C$7)</f>
        <v>Express</v>
      </c>
      <c r="AB82" s="1">
        <f>_xlfn.XLOOKUP(G82,[3]Master_SLA_Shipping!$A$2:$A$7,[3]Master_SLA_Shipping!$D$2:$D$7)</f>
        <v>2</v>
      </c>
      <c r="AC82" s="7">
        <f>_xlfn.XLOOKUP(G82,[3]Master_SLA_Shipping!$A$2:$A$7,[3]Master_SLA_Shipping!$E$2:$E$7)</f>
        <v>15000</v>
      </c>
      <c r="AD82" s="1" t="e">
        <v>#N/A</v>
      </c>
    </row>
    <row r="83" spans="1:30" x14ac:dyDescent="0.25">
      <c r="A83" s="1" t="s">
        <v>194</v>
      </c>
      <c r="B83" s="2">
        <v>45456</v>
      </c>
      <c r="C83" s="1" t="s">
        <v>56</v>
      </c>
      <c r="D83" s="1" t="s">
        <v>143</v>
      </c>
      <c r="E83" s="1">
        <v>5</v>
      </c>
      <c r="F83" s="1" t="s">
        <v>23</v>
      </c>
      <c r="G83" s="1" t="s">
        <v>54</v>
      </c>
      <c r="H83" s="2">
        <v>45457</v>
      </c>
      <c r="I83" s="2">
        <v>45461</v>
      </c>
      <c r="J83" s="1" t="s">
        <v>25</v>
      </c>
      <c r="K83" s="1" t="s">
        <v>26</v>
      </c>
      <c r="L83" s="1" t="s">
        <v>39</v>
      </c>
      <c r="M83" s="1" t="str">
        <f t="shared" si="3"/>
        <v>CUST-006</v>
      </c>
      <c r="N83" s="1" t="str">
        <f>TRIM(PROPER(VLOOKUP(M83,[1]Master_Customer_Profile!$A$2:$B$11,2,0)))</f>
        <v>Rina Anggraini</v>
      </c>
      <c r="O83" s="4" t="str">
        <f>SUBSTITUTE(SUBSTITUTE(SUBSTITUTE(TRIM(VLOOKUP(M83,[1]Master_Customer_Profile!$A$2:$C$11,3,0)),"+",""),"62","")," ","")</f>
        <v>81122334455</v>
      </c>
      <c r="P83" s="1" t="str">
        <f t="shared" si="4"/>
        <v>PRD-ELEC-002</v>
      </c>
      <c r="Q83" s="1" t="str">
        <f t="shared" si="5"/>
        <v>JNT-EXP-TRX-2024-0082-PRD-ELEC-002</v>
      </c>
      <c r="R83" s="1" t="str">
        <f>_xlfn.XLOOKUP(P83,[2]Master_Product_Catalog!$A$2:$A$16,[2]Master_Product_Catalog!$B$2:$B$16,"",3,1)</f>
        <v>Smart Watch Fitness Tracker V2</v>
      </c>
      <c r="S83" s="1" t="str">
        <f>_xlfn.XLOOKUP(P83,[2]Master_Product_Catalog!$A$2:$A$16,[2]Master_Product_Catalog!$C$2:$C$16,"Nothing")</f>
        <v>Electronics</v>
      </c>
      <c r="T83" s="1" t="str">
        <f>_xlfn.XLOOKUP(P83,[2]Master_Product_Catalog!$A$2:$A$16,[2]Master_Product_Catalog!$D$2:$D$16,"Nothing")</f>
        <v>Wearables</v>
      </c>
      <c r="U83" s="5">
        <f>_xlfn.XLOOKUP(P83,[2]Master_Product_Catalog!$A$2:$A$16,[2]Master_Product_Catalog!$E$2:$E$16,"Nothing")</f>
        <v>850000</v>
      </c>
      <c r="V83" s="6">
        <f>_xlfn.XLOOKUP(P83,[2]Master_Product_Catalog!$A$2:$A$16,[2]Master_Product_Catalog!$F$2:$F$16,"Nothing")</f>
        <v>520000</v>
      </c>
      <c r="W83" s="1" t="str">
        <f>_xlfn.XLOOKUP(P83,[2]Master_Product_Catalog!$A$2:$A$16,[2]Master_Product_Catalog!$G$2:$G$16,"Nothing")</f>
        <v>0.3</v>
      </c>
      <c r="X83" s="1" t="str">
        <f>_xlfn.XLOOKUP(M83,[1]Master_Customer_Profile!$A$2:$A$11,[1]Master_Customer_Profile!$D$2:$D$11)</f>
        <v>Banten</v>
      </c>
      <c r="Y83" s="1" t="str">
        <f>_xlfn.XLOOKUP(M83,[1]Master_Customer_Profile!$A$2:$A$11,[1]Master_Customer_Profile!$G$2:$G$11)</f>
        <v>Silver</v>
      </c>
      <c r="Z83" s="1" t="str">
        <f>_xlfn.XLOOKUP(G83,[3]Master_SLA_Shipping!$A$2:$A$7,[3]Master_SLA_Shipping!$B$2:$B$7)</f>
        <v>J&amp;T Express</v>
      </c>
      <c r="AA83" s="1" t="str">
        <f>_xlfn.XLOOKUP(G83,[3]Master_SLA_Shipping!$A$2:$A$7,[3]Master_SLA_Shipping!$C$2:$C$7)</f>
        <v>Express</v>
      </c>
      <c r="AB83" s="1">
        <f>_xlfn.XLOOKUP(G83,[3]Master_SLA_Shipping!$A$2:$A$7,[3]Master_SLA_Shipping!$D$2:$D$7)</f>
        <v>2</v>
      </c>
      <c r="AC83" s="7">
        <f>_xlfn.XLOOKUP(G83,[3]Master_SLA_Shipping!$A$2:$A$7,[3]Master_SLA_Shipping!$E$2:$E$7)</f>
        <v>15000</v>
      </c>
      <c r="AD83" s="1" t="e">
        <v>#N/A</v>
      </c>
    </row>
    <row r="84" spans="1:30" x14ac:dyDescent="0.25">
      <c r="A84" s="1" t="s">
        <v>195</v>
      </c>
      <c r="B84" s="2">
        <v>45457</v>
      </c>
      <c r="C84" s="1" t="s">
        <v>56</v>
      </c>
      <c r="D84" s="1" t="s">
        <v>164</v>
      </c>
      <c r="E84" s="1">
        <v>4</v>
      </c>
      <c r="F84" s="1" t="s">
        <v>23</v>
      </c>
      <c r="G84" s="1" t="s">
        <v>42</v>
      </c>
      <c r="H84" s="2">
        <v>45459</v>
      </c>
      <c r="I84" s="2">
        <v>45464</v>
      </c>
      <c r="J84" s="1" t="s">
        <v>25</v>
      </c>
      <c r="K84" s="1" t="s">
        <v>48</v>
      </c>
      <c r="L84" s="1" t="s">
        <v>33</v>
      </c>
      <c r="M84" s="1" t="str">
        <f t="shared" si="3"/>
        <v>CUST-006</v>
      </c>
      <c r="N84" s="1" t="str">
        <f>TRIM(PROPER(VLOOKUP(M84,[1]Master_Customer_Profile!$A$2:$B$11,2,0)))</f>
        <v>Rina Anggraini</v>
      </c>
      <c r="O84" s="4" t="str">
        <f>SUBSTITUTE(SUBSTITUTE(SUBSTITUTE(TRIM(VLOOKUP(M84,[1]Master_Customer_Profile!$A$2:$C$11,3,0)),"+",""),"62","")," ","")</f>
        <v>81122334455</v>
      </c>
      <c r="P84" s="1" t="str">
        <f t="shared" si="4"/>
        <v>PRD-HOME-001</v>
      </c>
      <c r="Q84" s="1" t="str">
        <f t="shared" si="5"/>
        <v>JNE-YES-TRX-2024-0083-PRD-HOME-001</v>
      </c>
      <c r="R84" s="1" t="str">
        <f>_xlfn.XLOOKUP(P84,[2]Master_Product_Catalog!$A$2:$A$16,[2]Master_Product_Catalog!$B$2:$B$16,"",3,1)</f>
        <v>Automatic Coffee Espresso Machine</v>
      </c>
      <c r="S84" s="1" t="str">
        <f>_xlfn.XLOOKUP(P84,[2]Master_Product_Catalog!$A$2:$A$16,[2]Master_Product_Catalog!$C$2:$C$16,"Nothing")</f>
        <v>Home &amp; Living</v>
      </c>
      <c r="T84" s="1" t="str">
        <f>_xlfn.XLOOKUP(P84,[2]Master_Product_Catalog!$A$2:$A$16,[2]Master_Product_Catalog!$D$2:$D$16,"Nothing")</f>
        <v>Kitchen Appliances</v>
      </c>
      <c r="U84" s="5">
        <f>_xlfn.XLOOKUP(P84,[2]Master_Product_Catalog!$A$2:$A$16,[2]Master_Product_Catalog!$E$2:$E$16,"Nothing")</f>
        <v>2400000</v>
      </c>
      <c r="V84" s="6">
        <f>_xlfn.XLOOKUP(P84,[2]Master_Product_Catalog!$A$2:$A$16,[2]Master_Product_Catalog!$F$2:$F$16,"Nothing")</f>
        <v>1650000</v>
      </c>
      <c r="W84" s="1" t="str">
        <f>_xlfn.XLOOKUP(P84,[2]Master_Product_Catalog!$A$2:$A$16,[2]Master_Product_Catalog!$G$2:$G$16,"Nothing")</f>
        <v>4.5</v>
      </c>
      <c r="X84" s="1" t="str">
        <f>_xlfn.XLOOKUP(M84,[1]Master_Customer_Profile!$A$2:$A$11,[1]Master_Customer_Profile!$D$2:$D$11)</f>
        <v>Banten</v>
      </c>
      <c r="Y84" s="1" t="str">
        <f>_xlfn.XLOOKUP(M84,[1]Master_Customer_Profile!$A$2:$A$11,[1]Master_Customer_Profile!$G$2:$G$11)</f>
        <v>Silver</v>
      </c>
      <c r="Z84" s="1" t="str">
        <f>_xlfn.XLOOKUP(G84,[3]Master_SLA_Shipping!$A$2:$A$7,[3]Master_SLA_Shipping!$B$2:$B$7)</f>
        <v>JNE</v>
      </c>
      <c r="AA84" s="1" t="str">
        <f>_xlfn.XLOOKUP(G84,[3]Master_SLA_Shipping!$A$2:$A$7,[3]Master_SLA_Shipping!$C$2:$C$7)</f>
        <v>Overnight</v>
      </c>
      <c r="AB84" s="1">
        <f>_xlfn.XLOOKUP(G84,[3]Master_SLA_Shipping!$A$2:$A$7,[3]Master_SLA_Shipping!$D$2:$D$7)</f>
        <v>1</v>
      </c>
      <c r="AC84" s="7">
        <f>_xlfn.XLOOKUP(G84,[3]Master_SLA_Shipping!$A$2:$A$7,[3]Master_SLA_Shipping!$E$2:$E$7)</f>
        <v>25000</v>
      </c>
      <c r="AD84" s="1" t="e">
        <v>#N/A</v>
      </c>
    </row>
    <row r="85" spans="1:30" x14ac:dyDescent="0.25">
      <c r="A85" s="1" t="s">
        <v>196</v>
      </c>
      <c r="B85" s="2">
        <v>45459</v>
      </c>
      <c r="C85" s="1" t="s">
        <v>197</v>
      </c>
      <c r="D85" s="1" t="s">
        <v>198</v>
      </c>
      <c r="E85" s="1">
        <v>5</v>
      </c>
      <c r="F85" s="1" t="s">
        <v>23</v>
      </c>
      <c r="G85" s="1" t="s">
        <v>16</v>
      </c>
      <c r="H85" s="2">
        <v>45461</v>
      </c>
      <c r="I85" s="2">
        <v>45462</v>
      </c>
      <c r="J85" s="1" t="s">
        <v>17</v>
      </c>
      <c r="K85" s="1" t="s">
        <v>48</v>
      </c>
      <c r="L85" s="1" t="s">
        <v>33</v>
      </c>
      <c r="M85" s="1" t="str">
        <f t="shared" si="3"/>
        <v>CUST-008</v>
      </c>
      <c r="N85" s="1" t="str">
        <f>TRIM(PROPER(VLOOKUP(M85,[1]Master_Customer_Profile!$A$2:$B$11,2,0)))</f>
        <v>Maya Indah Sari</v>
      </c>
      <c r="O85" s="4" t="str">
        <f>SUBSTITUTE(SUBSTITUTE(SUBSTITUTE(TRIM(VLOOKUP(M85,[1]Master_Customer_Profile!$A$2:$C$11,3,0)),"+",""),"62","")," ","")</f>
        <v>85211447788</v>
      </c>
      <c r="P85" s="1" t="str">
        <f t="shared" si="4"/>
        <v>PRD-ELEC-002</v>
      </c>
      <c r="Q85" s="1" t="str">
        <f t="shared" si="5"/>
        <v>SISEPAT-BEST-TRX-2024-0084-PRD-ELEC-002</v>
      </c>
      <c r="R85" s="1" t="str">
        <f>_xlfn.XLOOKUP(P85,[2]Master_Product_Catalog!$A$2:$A$16,[2]Master_Product_Catalog!$B$2:$B$16,"",3,1)</f>
        <v>Smart Watch Fitness Tracker V2</v>
      </c>
      <c r="S85" s="1" t="str">
        <f>_xlfn.XLOOKUP(P85,[2]Master_Product_Catalog!$A$2:$A$16,[2]Master_Product_Catalog!$C$2:$C$16,"Nothing")</f>
        <v>Electronics</v>
      </c>
      <c r="T85" s="1" t="str">
        <f>_xlfn.XLOOKUP(P85,[2]Master_Product_Catalog!$A$2:$A$16,[2]Master_Product_Catalog!$D$2:$D$16,"Nothing")</f>
        <v>Wearables</v>
      </c>
      <c r="U85" s="5">
        <f>_xlfn.XLOOKUP(P85,[2]Master_Product_Catalog!$A$2:$A$16,[2]Master_Product_Catalog!$E$2:$E$16,"Nothing")</f>
        <v>850000</v>
      </c>
      <c r="V85" s="6">
        <f>_xlfn.XLOOKUP(P85,[2]Master_Product_Catalog!$A$2:$A$16,[2]Master_Product_Catalog!$F$2:$F$16,"Nothing")</f>
        <v>520000</v>
      </c>
      <c r="W85" s="1" t="str">
        <f>_xlfn.XLOOKUP(P85,[2]Master_Product_Catalog!$A$2:$A$16,[2]Master_Product_Catalog!$G$2:$G$16,"Nothing")</f>
        <v>0.3</v>
      </c>
      <c r="X85" s="1" t="str">
        <f>_xlfn.XLOOKUP(M85,[1]Master_Customer_Profile!$A$2:$A$11,[1]Master_Customer_Profile!$D$2:$D$11)</f>
        <v>Sumatera Utara</v>
      </c>
      <c r="Y85" s="1" t="str">
        <f>_xlfn.XLOOKUP(M85,[1]Master_Customer_Profile!$A$2:$A$11,[1]Master_Customer_Profile!$G$2:$G$11)</f>
        <v>Gold</v>
      </c>
      <c r="Z85" s="1" t="str">
        <f>_xlfn.XLOOKUP(G85,[3]Master_SLA_Shipping!$A$2:$A$7,[3]Master_SLA_Shipping!$B$2:$B$7)</f>
        <v>SiCepat</v>
      </c>
      <c r="AA85" s="1" t="str">
        <f>_xlfn.XLOOKUP(G85,[3]Master_SLA_Shipping!$A$2:$A$7,[3]Master_SLA_Shipping!$C$2:$C$7)</f>
        <v>Express</v>
      </c>
      <c r="AB85" s="1">
        <f>_xlfn.XLOOKUP(G85,[3]Master_SLA_Shipping!$A$2:$A$7,[3]Master_SLA_Shipping!$D$2:$D$7)</f>
        <v>2</v>
      </c>
      <c r="AC85" s="7">
        <f>_xlfn.XLOOKUP(G85,[3]Master_SLA_Shipping!$A$2:$A$7,[3]Master_SLA_Shipping!$E$2:$E$7)</f>
        <v>16000</v>
      </c>
      <c r="AD85" s="1" t="e">
        <v>#N/A</v>
      </c>
    </row>
    <row r="86" spans="1:30" x14ac:dyDescent="0.25">
      <c r="A86" s="1" t="s">
        <v>199</v>
      </c>
      <c r="B86" s="2">
        <v>45462</v>
      </c>
      <c r="C86" s="1" t="s">
        <v>45</v>
      </c>
      <c r="D86" s="1" t="s">
        <v>46</v>
      </c>
      <c r="E86" s="1">
        <v>1</v>
      </c>
      <c r="F86" s="1" t="s">
        <v>23</v>
      </c>
      <c r="G86" s="1" t="s">
        <v>37</v>
      </c>
      <c r="H86" s="2">
        <v>45464</v>
      </c>
      <c r="I86" s="2">
        <v>45467</v>
      </c>
      <c r="J86" s="1" t="s">
        <v>17</v>
      </c>
      <c r="K86" s="1" t="s">
        <v>62</v>
      </c>
      <c r="L86" s="1" t="s">
        <v>33</v>
      </c>
      <c r="M86" s="1" t="str">
        <f t="shared" si="3"/>
        <v>CUST-004</v>
      </c>
      <c r="N86" s="1" t="str">
        <f>TRIM(PROPER(VLOOKUP(M86,[1]Master_Customer_Profile!$A$2:$B$11,2,0)))</f>
        <v>Dewi Lestari</v>
      </c>
      <c r="O86" s="4" t="str">
        <f>SUBSTITUTE(SUBSTITUTE(SUBSTITUTE(TRIM(VLOOKUP(M86,[1]Master_Customer_Profile!$A$2:$C$11,3,0)),"+",""),"62","")," ","")</f>
        <v>87855443322</v>
      </c>
      <c r="P86" s="1" t="str">
        <f t="shared" si="4"/>
        <v>PRD-BEAU-002</v>
      </c>
      <c r="Q86" s="1" t="str">
        <f t="shared" si="5"/>
        <v>JNE-REG-TRX-2024-0085-PRD-BEAU-002</v>
      </c>
      <c r="R86" s="1" t="str">
        <f>_xlfn.XLOOKUP(P86,[2]Master_Product_Catalog!$A$2:$A$16,[2]Master_Product_Catalog!$B$2:$B$16,"",3,1)</f>
        <v>Organic Sunscreen SPF 50 PA++++</v>
      </c>
      <c r="S86" s="1" t="str">
        <f>_xlfn.XLOOKUP(P86,[2]Master_Product_Catalog!$A$2:$A$16,[2]Master_Product_Catalog!$C$2:$C$16,"Nothing")</f>
        <v>Beauty &amp; Health</v>
      </c>
      <c r="T86" s="1" t="str">
        <f>_xlfn.XLOOKUP(P86,[2]Master_Product_Catalog!$A$2:$A$16,[2]Master_Product_Catalog!$D$2:$D$16,"Nothing")</f>
        <v>Skincare</v>
      </c>
      <c r="U86" s="5">
        <f>_xlfn.XLOOKUP(P86,[2]Master_Product_Catalog!$A$2:$A$16,[2]Master_Product_Catalog!$E$2:$E$16,"Nothing")</f>
        <v>145000</v>
      </c>
      <c r="V86" s="6">
        <f>_xlfn.XLOOKUP(P86,[2]Master_Product_Catalog!$A$2:$A$16,[2]Master_Product_Catalog!$F$2:$F$16,"Nothing")</f>
        <v>65000</v>
      </c>
      <c r="W86" s="1" t="str">
        <f>_xlfn.XLOOKUP(P86,[2]Master_Product_Catalog!$A$2:$A$16,[2]Master_Product_Catalog!$G$2:$G$16,"Nothing")</f>
        <v>0.12</v>
      </c>
      <c r="X86" s="1" t="str">
        <f>_xlfn.XLOOKUP(M86,[1]Master_Customer_Profile!$A$2:$A$11,[1]Master_Customer_Profile!$D$2:$D$11)</f>
        <v>Jawa Timur</v>
      </c>
      <c r="Y86" s="1" t="str">
        <f>_xlfn.XLOOKUP(M86,[1]Master_Customer_Profile!$A$2:$A$11,[1]Master_Customer_Profile!$G$2:$G$11)</f>
        <v>Silver</v>
      </c>
      <c r="Z86" s="1" t="str">
        <f>_xlfn.XLOOKUP(G86,[3]Master_SLA_Shipping!$A$2:$A$7,[3]Master_SLA_Shipping!$B$2:$B$7)</f>
        <v>JNE</v>
      </c>
      <c r="AA86" s="1" t="str">
        <f>_xlfn.XLOOKUP(G86,[3]Master_SLA_Shipping!$A$2:$A$7,[3]Master_SLA_Shipping!$C$2:$C$7)</f>
        <v>Regular</v>
      </c>
      <c r="AB86" s="1">
        <f>_xlfn.XLOOKUP(G86,[3]Master_SLA_Shipping!$A$2:$A$7,[3]Master_SLA_Shipping!$D$2:$D$7)</f>
        <v>3</v>
      </c>
      <c r="AC86" s="7">
        <f>_xlfn.XLOOKUP(G86,[3]Master_SLA_Shipping!$A$2:$A$7,[3]Master_SLA_Shipping!$E$2:$E$7)</f>
        <v>12000</v>
      </c>
      <c r="AD86" s="1" t="e">
        <v>#N/A</v>
      </c>
    </row>
    <row r="87" spans="1:30" x14ac:dyDescent="0.25">
      <c r="A87" s="1" t="s">
        <v>200</v>
      </c>
      <c r="B87" s="2">
        <v>45463</v>
      </c>
      <c r="C87" s="1" t="s">
        <v>45</v>
      </c>
      <c r="D87" s="1" t="s">
        <v>201</v>
      </c>
      <c r="E87" s="1">
        <v>4</v>
      </c>
      <c r="F87" s="1" t="s">
        <v>15</v>
      </c>
      <c r="G87" s="1" t="s">
        <v>42</v>
      </c>
      <c r="H87" s="2">
        <v>45465</v>
      </c>
      <c r="I87" s="2">
        <v>45467</v>
      </c>
      <c r="J87" s="1" t="s">
        <v>70</v>
      </c>
      <c r="K87" s="1" t="s">
        <v>26</v>
      </c>
      <c r="L87" s="1" t="s">
        <v>27</v>
      </c>
      <c r="M87" s="1" t="str">
        <f t="shared" si="3"/>
        <v>CUST-004</v>
      </c>
      <c r="N87" s="1" t="str">
        <f>TRIM(PROPER(VLOOKUP(M87,[1]Master_Customer_Profile!$A$2:$B$11,2,0)))</f>
        <v>Dewi Lestari</v>
      </c>
      <c r="O87" s="4" t="str">
        <f>SUBSTITUTE(SUBSTITUTE(SUBSTITUTE(TRIM(VLOOKUP(M87,[1]Master_Customer_Profile!$A$2:$C$11,3,0)),"+",""),"62","")," ","")</f>
        <v>87855443322</v>
      </c>
      <c r="P87" s="1" t="str">
        <f t="shared" si="4"/>
        <v>PRD-FASH-003</v>
      </c>
      <c r="Q87" s="1" t="str">
        <f t="shared" si="5"/>
        <v>JNE-YES-TRX-2024-0086-PRD-FASH-003</v>
      </c>
      <c r="R87" s="1" t="str">
        <f>_xlfn.XLOOKUP(P87,[2]Master_Product_Catalog!$A$2:$A$16,[2]Master_Product_Catalog!$B$2:$B$16,"",3,1)</f>
        <v>Unisex Canvas Sneakers White</v>
      </c>
      <c r="S87" s="1" t="str">
        <f>_xlfn.XLOOKUP(P87,[2]Master_Product_Catalog!$A$2:$A$16,[2]Master_Product_Catalog!$C$2:$C$16,"Nothing")</f>
        <v>Fashion</v>
      </c>
      <c r="T87" s="1" t="str">
        <f>_xlfn.XLOOKUP(P87,[2]Master_Product_Catalog!$A$2:$A$16,[2]Master_Product_Catalog!$D$2:$D$16,"Nothing")</f>
        <v>Footwear</v>
      </c>
      <c r="U87" s="5">
        <f>_xlfn.XLOOKUP(P87,[2]Master_Product_Catalog!$A$2:$A$16,[2]Master_Product_Catalog!$E$2:$E$16,"Nothing")</f>
        <v>520000</v>
      </c>
      <c r="V87" s="6">
        <f>_xlfn.XLOOKUP(P87,[2]Master_Product_Catalog!$A$2:$A$16,[2]Master_Product_Catalog!$F$2:$F$16,"Nothing")</f>
        <v>310000</v>
      </c>
      <c r="W87" s="1" t="str">
        <f>_xlfn.XLOOKUP(P87,[2]Master_Product_Catalog!$A$2:$A$16,[2]Master_Product_Catalog!$G$2:$G$16,"Nothing")</f>
        <v>1.1</v>
      </c>
      <c r="X87" s="1" t="str">
        <f>_xlfn.XLOOKUP(M87,[1]Master_Customer_Profile!$A$2:$A$11,[1]Master_Customer_Profile!$D$2:$D$11)</f>
        <v>Jawa Timur</v>
      </c>
      <c r="Y87" s="1" t="str">
        <f>_xlfn.XLOOKUP(M87,[1]Master_Customer_Profile!$A$2:$A$11,[1]Master_Customer_Profile!$G$2:$G$11)</f>
        <v>Silver</v>
      </c>
      <c r="Z87" s="1" t="str">
        <f>_xlfn.XLOOKUP(G87,[3]Master_SLA_Shipping!$A$2:$A$7,[3]Master_SLA_Shipping!$B$2:$B$7)</f>
        <v>JNE</v>
      </c>
      <c r="AA87" s="1" t="str">
        <f>_xlfn.XLOOKUP(G87,[3]Master_SLA_Shipping!$A$2:$A$7,[3]Master_SLA_Shipping!$C$2:$C$7)</f>
        <v>Overnight</v>
      </c>
      <c r="AB87" s="1">
        <f>_xlfn.XLOOKUP(G87,[3]Master_SLA_Shipping!$A$2:$A$7,[3]Master_SLA_Shipping!$D$2:$D$7)</f>
        <v>1</v>
      </c>
      <c r="AC87" s="7">
        <f>_xlfn.XLOOKUP(G87,[3]Master_SLA_Shipping!$A$2:$A$7,[3]Master_SLA_Shipping!$E$2:$E$7)</f>
        <v>25000</v>
      </c>
      <c r="AD87" s="1" t="e">
        <v>#N/A</v>
      </c>
    </row>
    <row r="88" spans="1:30" x14ac:dyDescent="0.25">
      <c r="A88" s="1" t="s">
        <v>202</v>
      </c>
      <c r="B88" s="2">
        <v>45466</v>
      </c>
      <c r="C88" s="1" t="s">
        <v>147</v>
      </c>
      <c r="D88" s="1" t="s">
        <v>153</v>
      </c>
      <c r="E88" s="1">
        <v>3</v>
      </c>
      <c r="F88" s="1" t="s">
        <v>23</v>
      </c>
      <c r="G88" s="1" t="s">
        <v>24</v>
      </c>
      <c r="H88" s="2">
        <v>45468</v>
      </c>
      <c r="I88" s="2">
        <v>45472</v>
      </c>
      <c r="J88" s="1" t="s">
        <v>38</v>
      </c>
      <c r="K88" s="1" t="s">
        <v>26</v>
      </c>
      <c r="L88" s="1" t="s">
        <v>19</v>
      </c>
      <c r="M88" s="1" t="str">
        <f t="shared" si="3"/>
        <v>CUST-009</v>
      </c>
      <c r="N88" s="1" t="str">
        <f>TRIM(PROPER(VLOOKUP(M88,[1]Master_Customer_Profile!$A$2:$B$11,2,0)))</f>
        <v>Rizky Hidayat</v>
      </c>
      <c r="O88" s="4" t="str">
        <f>SUBSTITUTE(SUBSTITUTE(SUBSTITUTE(TRIM(VLOOKUP(M88,[1]Master_Customer_Profile!$A$2:$C$11,3,0)),"+",""),"62","")," ","")</f>
        <v>81933221100</v>
      </c>
      <c r="P88" s="1" t="str">
        <f t="shared" si="4"/>
        <v>PRD-ELEC-005</v>
      </c>
      <c r="Q88" s="1" t="str">
        <f t="shared" si="5"/>
        <v>JNT-REG-TRX-2024-0087-PRD-ELEC-005</v>
      </c>
      <c r="R88" s="1" t="str">
        <f>_xlfn.XLOOKUP(P88,[2]Master_Product_Catalog!$A$2:$A$16,[2]Master_Product_Catalog!$B$2:$B$16,"",3,1)</f>
        <v>Ultra HD Webcam 4K Pro</v>
      </c>
      <c r="S88" s="1" t="str">
        <f>_xlfn.XLOOKUP(P88,[2]Master_Product_Catalog!$A$2:$A$16,[2]Master_Product_Catalog!$C$2:$C$16,"Nothing")</f>
        <v>Electronics</v>
      </c>
      <c r="T88" s="1" t="str">
        <f>_xlfn.XLOOKUP(P88,[2]Master_Product_Catalog!$A$2:$A$16,[2]Master_Product_Catalog!$D$2:$D$16,"Nothing")</f>
        <v>Computer Accessories</v>
      </c>
      <c r="U88" s="5">
        <f>_xlfn.XLOOKUP(P88,[2]Master_Product_Catalog!$A$2:$A$16,[2]Master_Product_Catalog!$E$2:$E$16,"Nothing")</f>
        <v>1100000</v>
      </c>
      <c r="V88" s="6">
        <f>_xlfn.XLOOKUP(P88,[2]Master_Product_Catalog!$A$2:$A$16,[2]Master_Product_Catalog!$F$2:$F$16,"Nothing")</f>
        <v>720000</v>
      </c>
      <c r="W88" s="1" t="str">
        <f>_xlfn.XLOOKUP(P88,[2]Master_Product_Catalog!$A$2:$A$16,[2]Master_Product_Catalog!$G$2:$G$16,"Nothing")</f>
        <v>0.4</v>
      </c>
      <c r="X88" s="1" t="str">
        <f>_xlfn.XLOOKUP(M88,[1]Master_Customer_Profile!$A$2:$A$11,[1]Master_Customer_Profile!$D$2:$D$11)</f>
        <v>Sulawesi Selatan</v>
      </c>
      <c r="Y88" s="1" t="str">
        <f>_xlfn.XLOOKUP(M88,[1]Master_Customer_Profile!$A$2:$A$11,[1]Master_Customer_Profile!$G$2:$G$11)</f>
        <v>Silver</v>
      </c>
      <c r="Z88" s="1" t="str">
        <f>_xlfn.XLOOKUP(G88,[3]Master_SLA_Shipping!$A$2:$A$7,[3]Master_SLA_Shipping!$B$2:$B$7)</f>
        <v>J&amp;T Express</v>
      </c>
      <c r="AA88" s="1" t="str">
        <f>_xlfn.XLOOKUP(G88,[3]Master_SLA_Shipping!$A$2:$A$7,[3]Master_SLA_Shipping!$C$2:$C$7)</f>
        <v>Regular</v>
      </c>
      <c r="AB88" s="1">
        <f>_xlfn.XLOOKUP(G88,[3]Master_SLA_Shipping!$A$2:$A$7,[3]Master_SLA_Shipping!$D$2:$D$7)</f>
        <v>4</v>
      </c>
      <c r="AC88" s="7">
        <f>_xlfn.XLOOKUP(G88,[3]Master_SLA_Shipping!$A$2:$A$7,[3]Master_SLA_Shipping!$E$2:$E$7)</f>
        <v>10000</v>
      </c>
      <c r="AD88" s="1" t="e">
        <v>#N/A</v>
      </c>
    </row>
    <row r="89" spans="1:30" x14ac:dyDescent="0.25">
      <c r="A89" s="1" t="s">
        <v>203</v>
      </c>
      <c r="B89" s="2">
        <v>45467</v>
      </c>
      <c r="C89" s="1" t="s">
        <v>197</v>
      </c>
      <c r="D89" s="1" t="s">
        <v>204</v>
      </c>
      <c r="E89" s="1">
        <v>5</v>
      </c>
      <c r="F89" s="1" t="s">
        <v>47</v>
      </c>
      <c r="G89" s="1" t="s">
        <v>16</v>
      </c>
      <c r="H89" s="2">
        <v>45469</v>
      </c>
      <c r="I89" s="2">
        <v>45471</v>
      </c>
      <c r="J89" s="1" t="s">
        <v>31</v>
      </c>
      <c r="K89" s="1" t="s">
        <v>32</v>
      </c>
      <c r="L89" s="1" t="s">
        <v>27</v>
      </c>
      <c r="M89" s="1" t="str">
        <f t="shared" si="3"/>
        <v>CUST-008</v>
      </c>
      <c r="N89" s="1" t="str">
        <f>TRIM(PROPER(VLOOKUP(M89,[1]Master_Customer_Profile!$A$2:$B$11,2,0)))</f>
        <v>Maya Indah Sari</v>
      </c>
      <c r="O89" s="4" t="str">
        <f>SUBSTITUTE(SUBSTITUTE(SUBSTITUTE(TRIM(VLOOKUP(M89,[1]Master_Customer_Profile!$A$2:$C$11,3,0)),"+",""),"62","")," ","")</f>
        <v>85211447788</v>
      </c>
      <c r="P89" s="1" t="str">
        <f t="shared" si="4"/>
        <v>PRD-FASH-001</v>
      </c>
      <c r="Q89" s="1" t="str">
        <f t="shared" si="5"/>
        <v>SISEPAT-BEST-TRX-2024-0088-PRD-FASH-001</v>
      </c>
      <c r="R89" s="1" t="str">
        <f>_xlfn.XLOOKUP(P89,[2]Master_Product_Catalog!$A$2:$A$16,[2]Master_Product_Catalog!$B$2:$B$16,"",3,1)</f>
        <v>Men Denim Jacket Vintage Blue</v>
      </c>
      <c r="S89" s="1" t="str">
        <f>_xlfn.XLOOKUP(P89,[2]Master_Product_Catalog!$A$2:$A$16,[2]Master_Product_Catalog!$C$2:$C$16,"Nothing")</f>
        <v>Fashion</v>
      </c>
      <c r="T89" s="1" t="str">
        <f>_xlfn.XLOOKUP(P89,[2]Master_Product_Catalog!$A$2:$A$16,[2]Master_Product_Catalog!$D$2:$D$16,"Nothing")</f>
        <v>Outerwear</v>
      </c>
      <c r="U89" s="5">
        <f>_xlfn.XLOOKUP(P89,[2]Master_Product_Catalog!$A$2:$A$16,[2]Master_Product_Catalog!$E$2:$E$16,"Nothing")</f>
        <v>450000</v>
      </c>
      <c r="V89" s="6">
        <f>_xlfn.XLOOKUP(P89,[2]Master_Product_Catalog!$A$2:$A$16,[2]Master_Product_Catalog!$F$2:$F$16,"Nothing")</f>
        <v>260000</v>
      </c>
      <c r="W89" s="1" t="str">
        <f>_xlfn.XLOOKUP(P89,[2]Master_Product_Catalog!$A$2:$A$16,[2]Master_Product_Catalog!$G$2:$G$16,"Nothing")</f>
        <v>0.9</v>
      </c>
      <c r="X89" s="1" t="str">
        <f>_xlfn.XLOOKUP(M89,[1]Master_Customer_Profile!$A$2:$A$11,[1]Master_Customer_Profile!$D$2:$D$11)</f>
        <v>Sumatera Utara</v>
      </c>
      <c r="Y89" s="1" t="str">
        <f>_xlfn.XLOOKUP(M89,[1]Master_Customer_Profile!$A$2:$A$11,[1]Master_Customer_Profile!$G$2:$G$11)</f>
        <v>Gold</v>
      </c>
      <c r="Z89" s="1" t="str">
        <f>_xlfn.XLOOKUP(G89,[3]Master_SLA_Shipping!$A$2:$A$7,[3]Master_SLA_Shipping!$B$2:$B$7)</f>
        <v>SiCepat</v>
      </c>
      <c r="AA89" s="1" t="str">
        <f>_xlfn.XLOOKUP(G89,[3]Master_SLA_Shipping!$A$2:$A$7,[3]Master_SLA_Shipping!$C$2:$C$7)</f>
        <v>Express</v>
      </c>
      <c r="AB89" s="1">
        <f>_xlfn.XLOOKUP(G89,[3]Master_SLA_Shipping!$A$2:$A$7,[3]Master_SLA_Shipping!$D$2:$D$7)</f>
        <v>2</v>
      </c>
      <c r="AC89" s="7">
        <f>_xlfn.XLOOKUP(G89,[3]Master_SLA_Shipping!$A$2:$A$7,[3]Master_SLA_Shipping!$E$2:$E$7)</f>
        <v>16000</v>
      </c>
      <c r="AD89" s="1" t="e">
        <v>#N/A</v>
      </c>
    </row>
    <row r="90" spans="1:30" x14ac:dyDescent="0.25">
      <c r="A90" s="1" t="s">
        <v>205</v>
      </c>
      <c r="B90" s="2">
        <v>45470</v>
      </c>
      <c r="C90" s="1" t="s">
        <v>84</v>
      </c>
      <c r="D90" s="1" t="s">
        <v>159</v>
      </c>
      <c r="E90" s="1">
        <v>4</v>
      </c>
      <c r="F90" s="1" t="s">
        <v>23</v>
      </c>
      <c r="G90" s="1" t="s">
        <v>54</v>
      </c>
      <c r="H90" s="2">
        <v>45471</v>
      </c>
      <c r="I90" s="2">
        <v>45475</v>
      </c>
      <c r="J90" s="1" t="s">
        <v>31</v>
      </c>
      <c r="K90" s="1" t="s">
        <v>62</v>
      </c>
      <c r="L90" s="1" t="s">
        <v>27</v>
      </c>
      <c r="M90" s="1" t="str">
        <f t="shared" si="3"/>
        <v>CUST-007</v>
      </c>
      <c r="N90" s="1" t="str">
        <f>TRIM(PROPER(VLOOKUP(M90,[1]Master_Customer_Profile!$A$2:$B$11,2,0)))</f>
        <v>Eko Prasetyo</v>
      </c>
      <c r="O90" s="4" t="str">
        <f>SUBSTITUTE(SUBSTITUTE(SUBSTITUTE(TRIM(VLOOKUP(M90,[1]Master_Customer_Profile!$A$2:$C$11,3,0)),"+",""),"62","")," ","")</f>
        <v>8170099887</v>
      </c>
      <c r="P90" s="1" t="str">
        <f t="shared" si="4"/>
        <v>PRD-ELEC-001</v>
      </c>
      <c r="Q90" s="1" t="str">
        <f t="shared" si="5"/>
        <v>JNT-EXP-TRX-2024-0089-PRD-ELEC-001</v>
      </c>
      <c r="R90" s="1" t="str">
        <f>_xlfn.XLOOKUP(P90,[2]Master_Product_Catalog!$A$2:$A$16,[2]Master_Product_Catalog!$B$2:$B$16,"",3,1)</f>
        <v>Wireless Noise Cancelling Headphones</v>
      </c>
      <c r="S90" s="1" t="str">
        <f>_xlfn.XLOOKUP(P90,[2]Master_Product_Catalog!$A$2:$A$16,[2]Master_Product_Catalog!$C$2:$C$16,"Nothing")</f>
        <v>Electronics</v>
      </c>
      <c r="T90" s="1" t="str">
        <f>_xlfn.XLOOKUP(P90,[2]Master_Product_Catalog!$A$2:$A$16,[2]Master_Product_Catalog!$D$2:$D$16,"Nothing")</f>
        <v>Audio</v>
      </c>
      <c r="U90" s="5">
        <f>_xlfn.XLOOKUP(P90,[2]Master_Product_Catalog!$A$2:$A$16,[2]Master_Product_Catalog!$E$2:$E$16,"Nothing")</f>
        <v>1250000</v>
      </c>
      <c r="V90" s="6">
        <f>_xlfn.XLOOKUP(P90,[2]Master_Product_Catalog!$A$2:$A$16,[2]Master_Product_Catalog!$F$2:$F$16,"Nothing")</f>
        <v>850000</v>
      </c>
      <c r="W90" s="1" t="str">
        <f>_xlfn.XLOOKUP(P90,[2]Master_Product_Catalog!$A$2:$A$16,[2]Master_Product_Catalog!$G$2:$G$16,"Nothing")</f>
        <v>0.8</v>
      </c>
      <c r="X90" s="1" t="str">
        <f>_xlfn.XLOOKUP(M90,[1]Master_Customer_Profile!$A$2:$A$11,[1]Master_Customer_Profile!$D$2:$D$11)</f>
        <v>DI Yogyakarta</v>
      </c>
      <c r="Y90" s="1" t="str">
        <f>_xlfn.XLOOKUP(M90,[1]Master_Customer_Profile!$A$2:$A$11,[1]Master_Customer_Profile!$G$2:$G$11)</f>
        <v>Platinum</v>
      </c>
      <c r="Z90" s="1" t="str">
        <f>_xlfn.XLOOKUP(G90,[3]Master_SLA_Shipping!$A$2:$A$7,[3]Master_SLA_Shipping!$B$2:$B$7)</f>
        <v>J&amp;T Express</v>
      </c>
      <c r="AA90" s="1" t="str">
        <f>_xlfn.XLOOKUP(G90,[3]Master_SLA_Shipping!$A$2:$A$7,[3]Master_SLA_Shipping!$C$2:$C$7)</f>
        <v>Express</v>
      </c>
      <c r="AB90" s="1">
        <f>_xlfn.XLOOKUP(G90,[3]Master_SLA_Shipping!$A$2:$A$7,[3]Master_SLA_Shipping!$D$2:$D$7)</f>
        <v>2</v>
      </c>
      <c r="AC90" s="7">
        <f>_xlfn.XLOOKUP(G90,[3]Master_SLA_Shipping!$A$2:$A$7,[3]Master_SLA_Shipping!$E$2:$E$7)</f>
        <v>15000</v>
      </c>
      <c r="AD90" s="1" t="e">
        <v>#N/A</v>
      </c>
    </row>
    <row r="91" spans="1:30" x14ac:dyDescent="0.25">
      <c r="A91" s="1" t="s">
        <v>206</v>
      </c>
      <c r="B91" s="2">
        <v>45471</v>
      </c>
      <c r="C91" s="1" t="s">
        <v>133</v>
      </c>
      <c r="D91" s="1" t="s">
        <v>111</v>
      </c>
      <c r="E91" s="1">
        <v>4</v>
      </c>
      <c r="F91" s="1" t="s">
        <v>73</v>
      </c>
      <c r="G91" s="1" t="s">
        <v>37</v>
      </c>
      <c r="H91" s="2">
        <v>45472</v>
      </c>
      <c r="I91" s="2">
        <v>45473</v>
      </c>
      <c r="J91" s="1" t="s">
        <v>70</v>
      </c>
      <c r="K91" s="1" t="s">
        <v>62</v>
      </c>
      <c r="L91" s="1" t="s">
        <v>43</v>
      </c>
      <c r="M91" s="1" t="str">
        <f t="shared" si="3"/>
        <v>CUST-010</v>
      </c>
      <c r="N91" s="1" t="str">
        <f>TRIM(PROPER(VLOOKUP(M91,[1]Master_Customer_Profile!$A$2:$B$11,2,0)))</f>
        <v>Valentina Rosi</v>
      </c>
      <c r="O91" s="4" t="str">
        <f>SUBSTITUTE(SUBSTITUTE(SUBSTITUTE(TRIM(VLOOKUP(M91,[1]Master_Customer_Profile!$A$2:$C$11,3,0)),"+",""),"62","")," ","")</f>
        <v>81377665544</v>
      </c>
      <c r="P91" s="1" t="str">
        <f t="shared" si="4"/>
        <v>PRD-FASH-001</v>
      </c>
      <c r="Q91" s="1" t="str">
        <f t="shared" si="5"/>
        <v>JNE-REG-TRX-2024-0090-PRD-FASH-001</v>
      </c>
      <c r="R91" s="1" t="str">
        <f>_xlfn.XLOOKUP(P91,[2]Master_Product_Catalog!$A$2:$A$16,[2]Master_Product_Catalog!$B$2:$B$16,"",3,1)</f>
        <v>Men Denim Jacket Vintage Blue</v>
      </c>
      <c r="S91" s="1" t="str">
        <f>_xlfn.XLOOKUP(P91,[2]Master_Product_Catalog!$A$2:$A$16,[2]Master_Product_Catalog!$C$2:$C$16,"Nothing")</f>
        <v>Fashion</v>
      </c>
      <c r="T91" s="1" t="str">
        <f>_xlfn.XLOOKUP(P91,[2]Master_Product_Catalog!$A$2:$A$16,[2]Master_Product_Catalog!$D$2:$D$16,"Nothing")</f>
        <v>Outerwear</v>
      </c>
      <c r="U91" s="5">
        <f>_xlfn.XLOOKUP(P91,[2]Master_Product_Catalog!$A$2:$A$16,[2]Master_Product_Catalog!$E$2:$E$16,"Nothing")</f>
        <v>450000</v>
      </c>
      <c r="V91" s="6">
        <f>_xlfn.XLOOKUP(P91,[2]Master_Product_Catalog!$A$2:$A$16,[2]Master_Product_Catalog!$F$2:$F$16,"Nothing")</f>
        <v>260000</v>
      </c>
      <c r="W91" s="1" t="str">
        <f>_xlfn.XLOOKUP(P91,[2]Master_Product_Catalog!$A$2:$A$16,[2]Master_Product_Catalog!$G$2:$G$16,"Nothing")</f>
        <v>0.9</v>
      </c>
      <c r="X91" s="1" t="str">
        <f>_xlfn.XLOOKUP(M91,[1]Master_Customer_Profile!$A$2:$A$11,[1]Master_Customer_Profile!$D$2:$D$11)</f>
        <v>Bali</v>
      </c>
      <c r="Y91" s="1" t="str">
        <f>_xlfn.XLOOKUP(M91,[1]Master_Customer_Profile!$A$2:$A$11,[1]Master_Customer_Profile!$G$2:$G$11)</f>
        <v>VIP</v>
      </c>
      <c r="Z91" s="1" t="str">
        <f>_xlfn.XLOOKUP(G91,[3]Master_SLA_Shipping!$A$2:$A$7,[3]Master_SLA_Shipping!$B$2:$B$7)</f>
        <v>JNE</v>
      </c>
      <c r="AA91" s="1" t="str">
        <f>_xlfn.XLOOKUP(G91,[3]Master_SLA_Shipping!$A$2:$A$7,[3]Master_SLA_Shipping!$C$2:$C$7)</f>
        <v>Regular</v>
      </c>
      <c r="AB91" s="1">
        <f>_xlfn.XLOOKUP(G91,[3]Master_SLA_Shipping!$A$2:$A$7,[3]Master_SLA_Shipping!$D$2:$D$7)</f>
        <v>3</v>
      </c>
      <c r="AC91" s="7">
        <f>_xlfn.XLOOKUP(G91,[3]Master_SLA_Shipping!$A$2:$A$7,[3]Master_SLA_Shipping!$E$2:$E$7)</f>
        <v>12000</v>
      </c>
      <c r="AD91" s="1" t="e">
        <v>#N/A</v>
      </c>
    </row>
    <row r="92" spans="1:30" x14ac:dyDescent="0.25">
      <c r="A92" s="1" t="s">
        <v>207</v>
      </c>
      <c r="B92" s="2">
        <v>45474</v>
      </c>
      <c r="C92" s="1" t="s">
        <v>93</v>
      </c>
      <c r="D92" s="1" t="s">
        <v>208</v>
      </c>
      <c r="E92" s="1">
        <v>5</v>
      </c>
      <c r="F92" s="1" t="s">
        <v>23</v>
      </c>
      <c r="G92" s="1" t="s">
        <v>42</v>
      </c>
      <c r="H92" s="2">
        <v>45476</v>
      </c>
      <c r="I92" s="2">
        <v>45482</v>
      </c>
      <c r="J92" s="1" t="s">
        <v>31</v>
      </c>
      <c r="K92" s="1" t="s">
        <v>18</v>
      </c>
      <c r="L92" s="1" t="s">
        <v>33</v>
      </c>
      <c r="M92" s="1" t="str">
        <f t="shared" si="3"/>
        <v>CUST-008</v>
      </c>
      <c r="N92" s="1" t="str">
        <f>TRIM(PROPER(VLOOKUP(M92,[1]Master_Customer_Profile!$A$2:$B$11,2,0)))</f>
        <v>Maya Indah Sari</v>
      </c>
      <c r="O92" s="4" t="str">
        <f>SUBSTITUTE(SUBSTITUTE(SUBSTITUTE(TRIM(VLOOKUP(M92,[1]Master_Customer_Profile!$A$2:$C$11,3,0)),"+",""),"62","")," ","")</f>
        <v>85211447788</v>
      </c>
      <c r="P92" s="1" t="str">
        <f t="shared" si="4"/>
        <v>PRD-BEAU-001</v>
      </c>
      <c r="Q92" s="1" t="str">
        <f t="shared" si="5"/>
        <v>JNE-YES-TRX-2024-0091-PRD-BEAU-001</v>
      </c>
      <c r="R92" s="1" t="str">
        <f>_xlfn.XLOOKUP(P92,[2]Master_Product_Catalog!$A$2:$A$16,[2]Master_Product_Catalog!$B$2:$B$16,"",3,1)</f>
        <v>Hydrating Serum Vitamin C 50ml</v>
      </c>
      <c r="S92" s="1" t="str">
        <f>_xlfn.XLOOKUP(P92,[2]Master_Product_Catalog!$A$2:$A$16,[2]Master_Product_Catalog!$C$2:$C$16,"Nothing")</f>
        <v>Beauty &amp; Health</v>
      </c>
      <c r="T92" s="1" t="str">
        <f>_xlfn.XLOOKUP(P92,[2]Master_Product_Catalog!$A$2:$A$16,[2]Master_Product_Catalog!$D$2:$D$16,"Nothing")</f>
        <v>Skincare</v>
      </c>
      <c r="U92" s="5">
        <f>_xlfn.XLOOKUP(P92,[2]Master_Product_Catalog!$A$2:$A$16,[2]Master_Product_Catalog!$E$2:$E$16,"Nothing")</f>
        <v>185000</v>
      </c>
      <c r="V92" s="6">
        <f>_xlfn.XLOOKUP(P92,[2]Master_Product_Catalog!$A$2:$A$16,[2]Master_Product_Catalog!$F$2:$F$16,"Nothing")</f>
        <v>85000</v>
      </c>
      <c r="W92" s="1" t="str">
        <f>_xlfn.XLOOKUP(P92,[2]Master_Product_Catalog!$A$2:$A$16,[2]Master_Product_Catalog!$G$2:$G$16,"Nothing")</f>
        <v>0.1</v>
      </c>
      <c r="X92" s="1" t="str">
        <f>_xlfn.XLOOKUP(M92,[1]Master_Customer_Profile!$A$2:$A$11,[1]Master_Customer_Profile!$D$2:$D$11)</f>
        <v>Sumatera Utara</v>
      </c>
      <c r="Y92" s="1" t="str">
        <f>_xlfn.XLOOKUP(M92,[1]Master_Customer_Profile!$A$2:$A$11,[1]Master_Customer_Profile!$G$2:$G$11)</f>
        <v>Gold</v>
      </c>
      <c r="Z92" s="1" t="str">
        <f>_xlfn.XLOOKUP(G92,[3]Master_SLA_Shipping!$A$2:$A$7,[3]Master_SLA_Shipping!$B$2:$B$7)</f>
        <v>JNE</v>
      </c>
      <c r="AA92" s="1" t="str">
        <f>_xlfn.XLOOKUP(G92,[3]Master_SLA_Shipping!$A$2:$A$7,[3]Master_SLA_Shipping!$C$2:$C$7)</f>
        <v>Overnight</v>
      </c>
      <c r="AB92" s="1">
        <f>_xlfn.XLOOKUP(G92,[3]Master_SLA_Shipping!$A$2:$A$7,[3]Master_SLA_Shipping!$D$2:$D$7)</f>
        <v>1</v>
      </c>
      <c r="AC92" s="7">
        <f>_xlfn.XLOOKUP(G92,[3]Master_SLA_Shipping!$A$2:$A$7,[3]Master_SLA_Shipping!$E$2:$E$7)</f>
        <v>25000</v>
      </c>
      <c r="AD92" s="1" t="e">
        <v>#N/A</v>
      </c>
    </row>
    <row r="93" spans="1:30" x14ac:dyDescent="0.25">
      <c r="A93" s="1" t="s">
        <v>209</v>
      </c>
      <c r="B93" s="2">
        <v>45476</v>
      </c>
      <c r="C93" s="1" t="s">
        <v>99</v>
      </c>
      <c r="D93" s="1" t="s">
        <v>210</v>
      </c>
      <c r="E93" s="1">
        <v>2</v>
      </c>
      <c r="F93" s="1" t="s">
        <v>23</v>
      </c>
      <c r="G93" s="1" t="s">
        <v>54</v>
      </c>
      <c r="H93" s="2">
        <v>45477</v>
      </c>
      <c r="I93" s="2">
        <v>45480</v>
      </c>
      <c r="J93" s="1" t="s">
        <v>38</v>
      </c>
      <c r="K93" s="1" t="s">
        <v>48</v>
      </c>
      <c r="L93" s="1" t="s">
        <v>43</v>
      </c>
      <c r="M93" s="1" t="str">
        <f t="shared" si="3"/>
        <v>CUST-009</v>
      </c>
      <c r="N93" s="1" t="str">
        <f>TRIM(PROPER(VLOOKUP(M93,[1]Master_Customer_Profile!$A$2:$B$11,2,0)))</f>
        <v>Rizky Hidayat</v>
      </c>
      <c r="O93" s="4" t="str">
        <f>SUBSTITUTE(SUBSTITUTE(SUBSTITUTE(TRIM(VLOOKUP(M93,[1]Master_Customer_Profile!$A$2:$C$11,3,0)),"+",""),"62","")," ","")</f>
        <v>81933221100</v>
      </c>
      <c r="P93" s="1" t="str">
        <f t="shared" si="4"/>
        <v>PRD-ELEC-001</v>
      </c>
      <c r="Q93" s="1" t="str">
        <f t="shared" si="5"/>
        <v>JNT-EXP-TRX-2024-0092-PRD-ELEC-001</v>
      </c>
      <c r="R93" s="1" t="str">
        <f>_xlfn.XLOOKUP(P93,[2]Master_Product_Catalog!$A$2:$A$16,[2]Master_Product_Catalog!$B$2:$B$16,"",3,1)</f>
        <v>Wireless Noise Cancelling Headphones</v>
      </c>
      <c r="S93" s="1" t="str">
        <f>_xlfn.XLOOKUP(P93,[2]Master_Product_Catalog!$A$2:$A$16,[2]Master_Product_Catalog!$C$2:$C$16,"Nothing")</f>
        <v>Electronics</v>
      </c>
      <c r="T93" s="1" t="str">
        <f>_xlfn.XLOOKUP(P93,[2]Master_Product_Catalog!$A$2:$A$16,[2]Master_Product_Catalog!$D$2:$D$16,"Nothing")</f>
        <v>Audio</v>
      </c>
      <c r="U93" s="5">
        <f>_xlfn.XLOOKUP(P93,[2]Master_Product_Catalog!$A$2:$A$16,[2]Master_Product_Catalog!$E$2:$E$16,"Nothing")</f>
        <v>1250000</v>
      </c>
      <c r="V93" s="6">
        <f>_xlfn.XLOOKUP(P93,[2]Master_Product_Catalog!$A$2:$A$16,[2]Master_Product_Catalog!$F$2:$F$16,"Nothing")</f>
        <v>850000</v>
      </c>
      <c r="W93" s="1" t="str">
        <f>_xlfn.XLOOKUP(P93,[2]Master_Product_Catalog!$A$2:$A$16,[2]Master_Product_Catalog!$G$2:$G$16,"Nothing")</f>
        <v>0.8</v>
      </c>
      <c r="X93" s="1" t="str">
        <f>_xlfn.XLOOKUP(M93,[1]Master_Customer_Profile!$A$2:$A$11,[1]Master_Customer_Profile!$D$2:$D$11)</f>
        <v>Sulawesi Selatan</v>
      </c>
      <c r="Y93" s="1" t="str">
        <f>_xlfn.XLOOKUP(M93,[1]Master_Customer_Profile!$A$2:$A$11,[1]Master_Customer_Profile!$G$2:$G$11)</f>
        <v>Silver</v>
      </c>
      <c r="Z93" s="1" t="str">
        <f>_xlfn.XLOOKUP(G93,[3]Master_SLA_Shipping!$A$2:$A$7,[3]Master_SLA_Shipping!$B$2:$B$7)</f>
        <v>J&amp;T Express</v>
      </c>
      <c r="AA93" s="1" t="str">
        <f>_xlfn.XLOOKUP(G93,[3]Master_SLA_Shipping!$A$2:$A$7,[3]Master_SLA_Shipping!$C$2:$C$7)</f>
        <v>Express</v>
      </c>
      <c r="AB93" s="1">
        <f>_xlfn.XLOOKUP(G93,[3]Master_SLA_Shipping!$A$2:$A$7,[3]Master_SLA_Shipping!$D$2:$D$7)</f>
        <v>2</v>
      </c>
      <c r="AC93" s="7">
        <f>_xlfn.XLOOKUP(G93,[3]Master_SLA_Shipping!$A$2:$A$7,[3]Master_SLA_Shipping!$E$2:$E$7)</f>
        <v>15000</v>
      </c>
      <c r="AD93" s="1" t="e">
        <v>#N/A</v>
      </c>
    </row>
    <row r="94" spans="1:30" x14ac:dyDescent="0.25">
      <c r="A94" s="1" t="s">
        <v>211</v>
      </c>
      <c r="B94" s="2">
        <v>45478</v>
      </c>
      <c r="C94" s="1" t="s">
        <v>135</v>
      </c>
      <c r="D94" s="1" t="s">
        <v>212</v>
      </c>
      <c r="E94" s="1">
        <v>1</v>
      </c>
      <c r="F94" s="1" t="s">
        <v>120</v>
      </c>
      <c r="G94" s="1" t="s">
        <v>37</v>
      </c>
      <c r="H94" s="2">
        <v>45479</v>
      </c>
      <c r="I94" s="2">
        <v>45481</v>
      </c>
      <c r="J94" s="1" t="s">
        <v>25</v>
      </c>
      <c r="K94" s="1" t="s">
        <v>32</v>
      </c>
      <c r="L94" s="1" t="s">
        <v>33</v>
      </c>
      <c r="M94" s="1" t="str">
        <f t="shared" si="3"/>
        <v>CUST-003</v>
      </c>
      <c r="N94" s="1" t="str">
        <f>TRIM(PROPER(VLOOKUP(M94,[1]Master_Customer_Profile!$A$2:$B$11,2,0)))</f>
        <v>Budi Santoso</v>
      </c>
      <c r="O94" s="4" t="str">
        <f>SUBSTITUTE(SUBSTITUTE(SUBSTITUTE(TRIM(VLOOKUP(M94,[1]Master_Customer_Profile!$A$2:$C$11,3,0)),"+",""),"62","")," ","")</f>
        <v>85611223344</v>
      </c>
      <c r="P94" s="1" t="str">
        <f t="shared" si="4"/>
        <v>PRD-HOME-003</v>
      </c>
      <c r="Q94" s="1" t="str">
        <f t="shared" si="5"/>
        <v>JNE-REG-TRX-2024-0093-PRD-HOME-003</v>
      </c>
      <c r="R94" s="1" t="str">
        <f>_xlfn.XLOOKUP(P94,[2]Master_Product_Catalog!$A$2:$A$16,[2]Master_Product_Catalog!$B$2:$B$16,"",3,1)</f>
        <v>Stainless Steel Cookware Set 5pcs</v>
      </c>
      <c r="S94" s="1" t="str">
        <f>_xlfn.XLOOKUP(P94,[2]Master_Product_Catalog!$A$2:$A$16,[2]Master_Product_Catalog!$C$2:$C$16,"Nothing")</f>
        <v>Home &amp; Living</v>
      </c>
      <c r="T94" s="1" t="str">
        <f>_xlfn.XLOOKUP(P94,[2]Master_Product_Catalog!$A$2:$A$16,[2]Master_Product_Catalog!$D$2:$D$16,"Nothing")</f>
        <v>Kitchenware</v>
      </c>
      <c r="U94" s="5">
        <f>_xlfn.XLOOKUP(P94,[2]Master_Product_Catalog!$A$2:$A$16,[2]Master_Product_Catalog!$E$2:$E$16,"Nothing")</f>
        <v>880000</v>
      </c>
      <c r="V94" s="6">
        <f>_xlfn.XLOOKUP(P94,[2]Master_Product_Catalog!$A$2:$A$16,[2]Master_Product_Catalog!$F$2:$F$16,"Nothing")</f>
        <v>540000</v>
      </c>
      <c r="W94" s="1" t="str">
        <f>_xlfn.XLOOKUP(P94,[2]Master_Product_Catalog!$A$2:$A$16,[2]Master_Product_Catalog!$G$2:$G$16,"Nothing")</f>
        <v>3.8</v>
      </c>
      <c r="X94" s="1" t="str">
        <f>_xlfn.XLOOKUP(M94,[1]Master_Customer_Profile!$A$2:$A$11,[1]Master_Customer_Profile!$D$2:$D$11)</f>
        <v>Jawa Tengah</v>
      </c>
      <c r="Y94" s="1" t="str">
        <f>_xlfn.XLOOKUP(M94,[1]Master_Customer_Profile!$A$2:$A$11,[1]Master_Customer_Profile!$G$2:$G$11)</f>
        <v>Platinum</v>
      </c>
      <c r="Z94" s="1" t="str">
        <f>_xlfn.XLOOKUP(G94,[3]Master_SLA_Shipping!$A$2:$A$7,[3]Master_SLA_Shipping!$B$2:$B$7)</f>
        <v>JNE</v>
      </c>
      <c r="AA94" s="1" t="str">
        <f>_xlfn.XLOOKUP(G94,[3]Master_SLA_Shipping!$A$2:$A$7,[3]Master_SLA_Shipping!$C$2:$C$7)</f>
        <v>Regular</v>
      </c>
      <c r="AB94" s="1">
        <f>_xlfn.XLOOKUP(G94,[3]Master_SLA_Shipping!$A$2:$A$7,[3]Master_SLA_Shipping!$D$2:$D$7)</f>
        <v>3</v>
      </c>
      <c r="AC94" s="7">
        <f>_xlfn.XLOOKUP(G94,[3]Master_SLA_Shipping!$A$2:$A$7,[3]Master_SLA_Shipping!$E$2:$E$7)</f>
        <v>12000</v>
      </c>
      <c r="AD94" s="1" t="e">
        <v>#N/A</v>
      </c>
    </row>
    <row r="95" spans="1:30" x14ac:dyDescent="0.25">
      <c r="A95" s="1" t="s">
        <v>213</v>
      </c>
      <c r="B95" s="2">
        <v>45480</v>
      </c>
      <c r="C95" s="1" t="s">
        <v>147</v>
      </c>
      <c r="D95" s="1" t="s">
        <v>85</v>
      </c>
      <c r="E95" s="1">
        <v>2</v>
      </c>
      <c r="F95" s="1" t="s">
        <v>15</v>
      </c>
      <c r="G95" s="1" t="s">
        <v>16</v>
      </c>
      <c r="H95" s="2">
        <v>45481</v>
      </c>
      <c r="I95" s="2">
        <v>45484</v>
      </c>
      <c r="J95" s="1" t="s">
        <v>17</v>
      </c>
      <c r="K95" s="1" t="s">
        <v>18</v>
      </c>
      <c r="L95" s="1" t="s">
        <v>19</v>
      </c>
      <c r="M95" s="1" t="str">
        <f t="shared" si="3"/>
        <v>CUST-009</v>
      </c>
      <c r="N95" s="1" t="str">
        <f>TRIM(PROPER(VLOOKUP(M95,[1]Master_Customer_Profile!$A$2:$B$11,2,0)))</f>
        <v>Rizky Hidayat</v>
      </c>
      <c r="O95" s="4" t="str">
        <f>SUBSTITUTE(SUBSTITUTE(SUBSTITUTE(TRIM(VLOOKUP(M95,[1]Master_Customer_Profile!$A$2:$C$11,3,0)),"+",""),"62","")," ","")</f>
        <v>81933221100</v>
      </c>
      <c r="P95" s="1" t="str">
        <f t="shared" si="4"/>
        <v>PRD-FASH-002</v>
      </c>
      <c r="Q95" s="1" t="str">
        <f t="shared" si="5"/>
        <v>SISEPAT-BEST-TRX-2024-0094-PRD-FASH-002</v>
      </c>
      <c r="R95" s="1" t="str">
        <f>_xlfn.XLOOKUP(P95,[2]Master_Product_Catalog!$A$2:$A$16,[2]Master_Product_Catalog!$B$2:$B$16,"",3,1)</f>
        <v>Women Floral Summer Dress</v>
      </c>
      <c r="S95" s="1" t="str">
        <f>_xlfn.XLOOKUP(P95,[2]Master_Product_Catalog!$A$2:$A$16,[2]Master_Product_Catalog!$C$2:$C$16,"Nothing")</f>
        <v>Fashion</v>
      </c>
      <c r="T95" s="1" t="str">
        <f>_xlfn.XLOOKUP(P95,[2]Master_Product_Catalog!$A$2:$A$16,[2]Master_Product_Catalog!$D$2:$D$16,"Nothing")</f>
        <v>Dresses</v>
      </c>
      <c r="U95" s="5">
        <f>_xlfn.XLOOKUP(P95,[2]Master_Product_Catalog!$A$2:$A$16,[2]Master_Product_Catalog!$E$2:$E$16,"Nothing")</f>
        <v>320000</v>
      </c>
      <c r="V95" s="6">
        <f>_xlfn.XLOOKUP(P95,[2]Master_Product_Catalog!$A$2:$A$16,[2]Master_Product_Catalog!$F$2:$F$16,"Nothing")</f>
        <v>180000</v>
      </c>
      <c r="W95" s="1" t="str">
        <f>_xlfn.XLOOKUP(P95,[2]Master_Product_Catalog!$A$2:$A$16,[2]Master_Product_Catalog!$G$2:$G$16,"Nothing")</f>
        <v>0.35</v>
      </c>
      <c r="X95" s="1" t="str">
        <f>_xlfn.XLOOKUP(M95,[1]Master_Customer_Profile!$A$2:$A$11,[1]Master_Customer_Profile!$D$2:$D$11)</f>
        <v>Sulawesi Selatan</v>
      </c>
      <c r="Y95" s="1" t="str">
        <f>_xlfn.XLOOKUP(M95,[1]Master_Customer_Profile!$A$2:$A$11,[1]Master_Customer_Profile!$G$2:$G$11)</f>
        <v>Silver</v>
      </c>
      <c r="Z95" s="1" t="str">
        <f>_xlfn.XLOOKUP(G95,[3]Master_SLA_Shipping!$A$2:$A$7,[3]Master_SLA_Shipping!$B$2:$B$7)</f>
        <v>SiCepat</v>
      </c>
      <c r="AA95" s="1" t="str">
        <f>_xlfn.XLOOKUP(G95,[3]Master_SLA_Shipping!$A$2:$A$7,[3]Master_SLA_Shipping!$C$2:$C$7)</f>
        <v>Express</v>
      </c>
      <c r="AB95" s="1">
        <f>_xlfn.XLOOKUP(G95,[3]Master_SLA_Shipping!$A$2:$A$7,[3]Master_SLA_Shipping!$D$2:$D$7)</f>
        <v>2</v>
      </c>
      <c r="AC95" s="7">
        <f>_xlfn.XLOOKUP(G95,[3]Master_SLA_Shipping!$A$2:$A$7,[3]Master_SLA_Shipping!$E$2:$E$7)</f>
        <v>16000</v>
      </c>
      <c r="AD95" s="1" t="e">
        <v>#N/A</v>
      </c>
    </row>
    <row r="96" spans="1:30" x14ac:dyDescent="0.25">
      <c r="A96" s="1" t="s">
        <v>214</v>
      </c>
      <c r="B96" s="2">
        <v>45482</v>
      </c>
      <c r="C96" s="1" t="s">
        <v>133</v>
      </c>
      <c r="D96" s="1" t="s">
        <v>94</v>
      </c>
      <c r="E96" s="1">
        <v>3</v>
      </c>
      <c r="F96" s="1" t="s">
        <v>47</v>
      </c>
      <c r="G96" s="1" t="s">
        <v>67</v>
      </c>
      <c r="H96" s="2">
        <v>45485</v>
      </c>
      <c r="I96" s="2">
        <v>45487</v>
      </c>
      <c r="J96" s="1" t="s">
        <v>38</v>
      </c>
      <c r="K96" s="1" t="s">
        <v>18</v>
      </c>
      <c r="L96" s="1" t="s">
        <v>39</v>
      </c>
      <c r="M96" s="1" t="str">
        <f t="shared" si="3"/>
        <v>CUST-010</v>
      </c>
      <c r="N96" s="1" t="str">
        <f>TRIM(PROPER(VLOOKUP(M96,[1]Master_Customer_Profile!$A$2:$B$11,2,0)))</f>
        <v>Valentina Rosi</v>
      </c>
      <c r="O96" s="4" t="str">
        <f>SUBSTITUTE(SUBSTITUTE(SUBSTITUTE(TRIM(VLOOKUP(M96,[1]Master_Customer_Profile!$A$2:$C$11,3,0)),"+",""),"62","")," ","")</f>
        <v>81377665544</v>
      </c>
      <c r="P96" s="1" t="str">
        <f t="shared" si="4"/>
        <v>PRD-ELEC-003</v>
      </c>
      <c r="Q96" s="1" t="str">
        <f t="shared" si="5"/>
        <v>SISEPAT-GOKIL-TRX-2024-0095-PRD-ELEC-003</v>
      </c>
      <c r="R96" s="1" t="str">
        <f>_xlfn.XLOOKUP(P96,[2]Master_Product_Catalog!$A$2:$A$16,[2]Master_Product_Catalog!$B$2:$B$16,"",3,1)</f>
        <v>Mechanical Gaming Keyboard RGB</v>
      </c>
      <c r="S96" s="1" t="str">
        <f>_xlfn.XLOOKUP(P96,[2]Master_Product_Catalog!$A$2:$A$16,[2]Master_Product_Catalog!$C$2:$C$16,"Nothing")</f>
        <v>Electronics</v>
      </c>
      <c r="T96" s="1" t="str">
        <f>_xlfn.XLOOKUP(P96,[2]Master_Product_Catalog!$A$2:$A$16,[2]Master_Product_Catalog!$D$2:$D$16,"Nothing")</f>
        <v>Computer Accessories</v>
      </c>
      <c r="U96" s="5">
        <f>_xlfn.XLOOKUP(P96,[2]Master_Product_Catalog!$A$2:$A$16,[2]Master_Product_Catalog!$E$2:$E$16,"Nothing")</f>
        <v>950000</v>
      </c>
      <c r="V96" s="6">
        <f>_xlfn.XLOOKUP(P96,[2]Master_Product_Catalog!$A$2:$A$16,[2]Master_Product_Catalog!$F$2:$F$16,"Nothing")</f>
        <v>600000</v>
      </c>
      <c r="W96" s="1" t="str">
        <f>_xlfn.XLOOKUP(P96,[2]Master_Product_Catalog!$A$2:$A$16,[2]Master_Product_Catalog!$G$2:$G$16,"Nothing")</f>
        <v>1.2</v>
      </c>
      <c r="X96" s="1" t="str">
        <f>_xlfn.XLOOKUP(M96,[1]Master_Customer_Profile!$A$2:$A$11,[1]Master_Customer_Profile!$D$2:$D$11)</f>
        <v>Bali</v>
      </c>
      <c r="Y96" s="1" t="str">
        <f>_xlfn.XLOOKUP(M96,[1]Master_Customer_Profile!$A$2:$A$11,[1]Master_Customer_Profile!$G$2:$G$11)</f>
        <v>VIP</v>
      </c>
      <c r="Z96" s="1" t="str">
        <f>_xlfn.XLOOKUP(G96,[3]Master_SLA_Shipping!$A$2:$A$7,[3]Master_SLA_Shipping!$B$2:$B$7)</f>
        <v>SiCepat</v>
      </c>
      <c r="AA96" s="1" t="str">
        <f>_xlfn.XLOOKUP(G96,[3]Master_SLA_Shipping!$A$2:$A$7,[3]Master_SLA_Shipping!$C$2:$C$7)</f>
        <v>Cargo</v>
      </c>
      <c r="AB96" s="1">
        <f>_xlfn.XLOOKUP(G96,[3]Master_SLA_Shipping!$A$2:$A$7,[3]Master_SLA_Shipping!$D$2:$D$7)</f>
        <v>5</v>
      </c>
      <c r="AC96" s="7">
        <f>_xlfn.XLOOKUP(G96,[3]Master_SLA_Shipping!$A$2:$A$7,[3]Master_SLA_Shipping!$E$2:$E$7)</f>
        <v>8000</v>
      </c>
      <c r="AD96" s="1" t="e">
        <v>#N/A</v>
      </c>
    </row>
    <row r="97" spans="1:30" x14ac:dyDescent="0.25">
      <c r="A97" s="1" t="s">
        <v>215</v>
      </c>
      <c r="B97" s="2">
        <v>45484</v>
      </c>
      <c r="C97" s="1" t="s">
        <v>35</v>
      </c>
      <c r="D97" s="1" t="s">
        <v>216</v>
      </c>
      <c r="E97" s="1">
        <v>3</v>
      </c>
      <c r="F97" s="1" t="s">
        <v>23</v>
      </c>
      <c r="G97" s="1" t="s">
        <v>24</v>
      </c>
      <c r="H97" s="2">
        <v>45486</v>
      </c>
      <c r="I97" s="2">
        <v>45492</v>
      </c>
      <c r="J97" s="1" t="s">
        <v>31</v>
      </c>
      <c r="K97" s="1" t="s">
        <v>32</v>
      </c>
      <c r="L97" s="1" t="s">
        <v>39</v>
      </c>
      <c r="M97" s="1" t="str">
        <f t="shared" si="3"/>
        <v>CUST-002</v>
      </c>
      <c r="N97" s="1" t="str">
        <f>TRIM(PROPER(VLOOKUP(M97,[1]Master_Customer_Profile!$A$2:$B$11,2,0)))</f>
        <v>Siti Nurhaliza</v>
      </c>
      <c r="O97" s="4" t="str">
        <f>SUBSTITUTE(SUBSTITUTE(SUBSTITUTE(TRIM(VLOOKUP(M97,[1]Master_Customer_Profile!$A$2:$C$11,3,0)),"+",""),"62","")," ","")</f>
        <v>8189876543</v>
      </c>
      <c r="P97" s="1" t="str">
        <f t="shared" si="4"/>
        <v>PRD-FASH-003</v>
      </c>
      <c r="Q97" s="1" t="str">
        <f t="shared" si="5"/>
        <v>JNT-REG-TRX-2024-0096-PRD-FASH-003</v>
      </c>
      <c r="R97" s="1" t="str">
        <f>_xlfn.XLOOKUP(P97,[2]Master_Product_Catalog!$A$2:$A$16,[2]Master_Product_Catalog!$B$2:$B$16,"",3,1)</f>
        <v>Unisex Canvas Sneakers White</v>
      </c>
      <c r="S97" s="1" t="str">
        <f>_xlfn.XLOOKUP(P97,[2]Master_Product_Catalog!$A$2:$A$16,[2]Master_Product_Catalog!$C$2:$C$16,"Nothing")</f>
        <v>Fashion</v>
      </c>
      <c r="T97" s="1" t="str">
        <f>_xlfn.XLOOKUP(P97,[2]Master_Product_Catalog!$A$2:$A$16,[2]Master_Product_Catalog!$D$2:$D$16,"Nothing")</f>
        <v>Footwear</v>
      </c>
      <c r="U97" s="5">
        <f>_xlfn.XLOOKUP(P97,[2]Master_Product_Catalog!$A$2:$A$16,[2]Master_Product_Catalog!$E$2:$E$16,"Nothing")</f>
        <v>520000</v>
      </c>
      <c r="V97" s="6">
        <f>_xlfn.XLOOKUP(P97,[2]Master_Product_Catalog!$A$2:$A$16,[2]Master_Product_Catalog!$F$2:$F$16,"Nothing")</f>
        <v>310000</v>
      </c>
      <c r="W97" s="1" t="str">
        <f>_xlfn.XLOOKUP(P97,[2]Master_Product_Catalog!$A$2:$A$16,[2]Master_Product_Catalog!$G$2:$G$16,"Nothing")</f>
        <v>1.1</v>
      </c>
      <c r="X97" s="1" t="str">
        <f>_xlfn.XLOOKUP(M97,[1]Master_Customer_Profile!$A$2:$A$11,[1]Master_Customer_Profile!$D$2:$D$11)</f>
        <v>DKI Jakarta</v>
      </c>
      <c r="Y97" s="1" t="str">
        <f>_xlfn.XLOOKUP(M97,[1]Master_Customer_Profile!$A$2:$A$11,[1]Master_Customer_Profile!$G$2:$G$11)</f>
        <v>Gold</v>
      </c>
      <c r="Z97" s="1" t="str">
        <f>_xlfn.XLOOKUP(G97,[3]Master_SLA_Shipping!$A$2:$A$7,[3]Master_SLA_Shipping!$B$2:$B$7)</f>
        <v>J&amp;T Express</v>
      </c>
      <c r="AA97" s="1" t="str">
        <f>_xlfn.XLOOKUP(G97,[3]Master_SLA_Shipping!$A$2:$A$7,[3]Master_SLA_Shipping!$C$2:$C$7)</f>
        <v>Regular</v>
      </c>
      <c r="AB97" s="1">
        <f>_xlfn.XLOOKUP(G97,[3]Master_SLA_Shipping!$A$2:$A$7,[3]Master_SLA_Shipping!$D$2:$D$7)</f>
        <v>4</v>
      </c>
      <c r="AC97" s="7">
        <f>_xlfn.XLOOKUP(G97,[3]Master_SLA_Shipping!$A$2:$A$7,[3]Master_SLA_Shipping!$E$2:$E$7)</f>
        <v>10000</v>
      </c>
      <c r="AD97" s="1" t="e">
        <v>#N/A</v>
      </c>
    </row>
    <row r="98" spans="1:30" x14ac:dyDescent="0.25">
      <c r="A98" s="1" t="s">
        <v>217</v>
      </c>
      <c r="B98" s="2">
        <v>45485</v>
      </c>
      <c r="C98" s="1" t="s">
        <v>93</v>
      </c>
      <c r="D98" s="1" t="s">
        <v>218</v>
      </c>
      <c r="E98" s="1">
        <v>5</v>
      </c>
      <c r="F98" s="1" t="s">
        <v>120</v>
      </c>
      <c r="G98" s="1" t="s">
        <v>67</v>
      </c>
      <c r="H98" s="2">
        <v>45487</v>
      </c>
      <c r="I98" s="2">
        <v>45489</v>
      </c>
      <c r="J98" s="1" t="s">
        <v>70</v>
      </c>
      <c r="K98" s="1" t="s">
        <v>32</v>
      </c>
      <c r="L98" s="1" t="s">
        <v>33</v>
      </c>
      <c r="M98" s="1" t="str">
        <f t="shared" si="3"/>
        <v>CUST-008</v>
      </c>
      <c r="N98" s="1" t="str">
        <f>TRIM(PROPER(VLOOKUP(M98,[1]Master_Customer_Profile!$A$2:$B$11,2,0)))</f>
        <v>Maya Indah Sari</v>
      </c>
      <c r="O98" s="4" t="str">
        <f>SUBSTITUTE(SUBSTITUTE(SUBSTITUTE(TRIM(VLOOKUP(M98,[1]Master_Customer_Profile!$A$2:$C$11,3,0)),"+",""),"62","")," ","")</f>
        <v>85211447788</v>
      </c>
      <c r="P98" s="1" t="str">
        <f t="shared" si="4"/>
        <v>PRD-ELEC-002</v>
      </c>
      <c r="Q98" s="1" t="str">
        <f t="shared" si="5"/>
        <v>SISEPAT-GOKIL-TRX-2024-0097-PRD-ELEC-002</v>
      </c>
      <c r="R98" s="1" t="str">
        <f>_xlfn.XLOOKUP(P98,[2]Master_Product_Catalog!$A$2:$A$16,[2]Master_Product_Catalog!$B$2:$B$16,"",3,1)</f>
        <v>Smart Watch Fitness Tracker V2</v>
      </c>
      <c r="S98" s="1" t="str">
        <f>_xlfn.XLOOKUP(P98,[2]Master_Product_Catalog!$A$2:$A$16,[2]Master_Product_Catalog!$C$2:$C$16,"Nothing")</f>
        <v>Electronics</v>
      </c>
      <c r="T98" s="1" t="str">
        <f>_xlfn.XLOOKUP(P98,[2]Master_Product_Catalog!$A$2:$A$16,[2]Master_Product_Catalog!$D$2:$D$16,"Nothing")</f>
        <v>Wearables</v>
      </c>
      <c r="U98" s="5">
        <f>_xlfn.XLOOKUP(P98,[2]Master_Product_Catalog!$A$2:$A$16,[2]Master_Product_Catalog!$E$2:$E$16,"Nothing")</f>
        <v>850000</v>
      </c>
      <c r="V98" s="6">
        <f>_xlfn.XLOOKUP(P98,[2]Master_Product_Catalog!$A$2:$A$16,[2]Master_Product_Catalog!$F$2:$F$16,"Nothing")</f>
        <v>520000</v>
      </c>
      <c r="W98" s="1" t="str">
        <f>_xlfn.XLOOKUP(P98,[2]Master_Product_Catalog!$A$2:$A$16,[2]Master_Product_Catalog!$G$2:$G$16,"Nothing")</f>
        <v>0.3</v>
      </c>
      <c r="X98" s="1" t="str">
        <f>_xlfn.XLOOKUP(M98,[1]Master_Customer_Profile!$A$2:$A$11,[1]Master_Customer_Profile!$D$2:$D$11)</f>
        <v>Sumatera Utara</v>
      </c>
      <c r="Y98" s="1" t="str">
        <f>_xlfn.XLOOKUP(M98,[1]Master_Customer_Profile!$A$2:$A$11,[1]Master_Customer_Profile!$G$2:$G$11)</f>
        <v>Gold</v>
      </c>
      <c r="Z98" s="1" t="str">
        <f>_xlfn.XLOOKUP(G98,[3]Master_SLA_Shipping!$A$2:$A$7,[3]Master_SLA_Shipping!$B$2:$B$7)</f>
        <v>SiCepat</v>
      </c>
      <c r="AA98" s="1" t="str">
        <f>_xlfn.XLOOKUP(G98,[3]Master_SLA_Shipping!$A$2:$A$7,[3]Master_SLA_Shipping!$C$2:$C$7)</f>
        <v>Cargo</v>
      </c>
      <c r="AB98" s="1">
        <f>_xlfn.XLOOKUP(G98,[3]Master_SLA_Shipping!$A$2:$A$7,[3]Master_SLA_Shipping!$D$2:$D$7)</f>
        <v>5</v>
      </c>
      <c r="AC98" s="7">
        <f>_xlfn.XLOOKUP(G98,[3]Master_SLA_Shipping!$A$2:$A$7,[3]Master_SLA_Shipping!$E$2:$E$7)</f>
        <v>8000</v>
      </c>
      <c r="AD98" s="1" t="e">
        <v>#N/A</v>
      </c>
    </row>
    <row r="99" spans="1:30" x14ac:dyDescent="0.25">
      <c r="A99" s="1" t="s">
        <v>219</v>
      </c>
      <c r="B99" s="2">
        <v>45488</v>
      </c>
      <c r="C99" s="1" t="s">
        <v>21</v>
      </c>
      <c r="D99" s="1" t="s">
        <v>164</v>
      </c>
      <c r="E99" s="1">
        <v>1</v>
      </c>
      <c r="F99" s="1" t="s">
        <v>23</v>
      </c>
      <c r="G99" s="1" t="s">
        <v>24</v>
      </c>
      <c r="H99" s="2">
        <v>45489</v>
      </c>
      <c r="I99" s="2">
        <v>45493</v>
      </c>
      <c r="J99" s="1" t="s">
        <v>31</v>
      </c>
      <c r="K99" s="1" t="s">
        <v>32</v>
      </c>
      <c r="L99" s="1" t="s">
        <v>27</v>
      </c>
      <c r="M99" s="1" t="str">
        <f t="shared" si="3"/>
        <v>CUST-001</v>
      </c>
      <c r="N99" s="1" t="str">
        <f>TRIM(PROPER(VLOOKUP(M99,[1]Master_Customer_Profile!$A$2:$B$11,2,0)))</f>
        <v>Ahmad Fauzi</v>
      </c>
      <c r="O99" s="4" t="str">
        <f>SUBSTITUTE(SUBSTITUTE(SUBSTITUTE(TRIM(VLOOKUP(M99,[1]Master_Customer_Profile!$A$2:$C$11,3,0)),"+",""),"62","")," ","")</f>
        <v>81234567890</v>
      </c>
      <c r="P99" s="1" t="str">
        <f t="shared" si="4"/>
        <v>PRD-HOME-001</v>
      </c>
      <c r="Q99" s="1" t="str">
        <f t="shared" si="5"/>
        <v>JNT-REG-TRX-2024-0098-PRD-HOME-001</v>
      </c>
      <c r="R99" s="1" t="str">
        <f>_xlfn.XLOOKUP(P99,[2]Master_Product_Catalog!$A$2:$A$16,[2]Master_Product_Catalog!$B$2:$B$16,"",3,1)</f>
        <v>Automatic Coffee Espresso Machine</v>
      </c>
      <c r="S99" s="1" t="str">
        <f>_xlfn.XLOOKUP(P99,[2]Master_Product_Catalog!$A$2:$A$16,[2]Master_Product_Catalog!$C$2:$C$16,"Nothing")</f>
        <v>Home &amp; Living</v>
      </c>
      <c r="T99" s="1" t="str">
        <f>_xlfn.XLOOKUP(P99,[2]Master_Product_Catalog!$A$2:$A$16,[2]Master_Product_Catalog!$D$2:$D$16,"Nothing")</f>
        <v>Kitchen Appliances</v>
      </c>
      <c r="U99" s="5">
        <f>_xlfn.XLOOKUP(P99,[2]Master_Product_Catalog!$A$2:$A$16,[2]Master_Product_Catalog!$E$2:$E$16,"Nothing")</f>
        <v>2400000</v>
      </c>
      <c r="V99" s="6">
        <f>_xlfn.XLOOKUP(P99,[2]Master_Product_Catalog!$A$2:$A$16,[2]Master_Product_Catalog!$F$2:$F$16,"Nothing")</f>
        <v>1650000</v>
      </c>
      <c r="W99" s="1" t="str">
        <f>_xlfn.XLOOKUP(P99,[2]Master_Product_Catalog!$A$2:$A$16,[2]Master_Product_Catalog!$G$2:$G$16,"Nothing")</f>
        <v>4.5</v>
      </c>
      <c r="X99" s="1" t="str">
        <f>_xlfn.XLOOKUP(M99,[1]Master_Customer_Profile!$A$2:$A$11,[1]Master_Customer_Profile!$D$2:$D$11)</f>
        <v>Jawa Barat</v>
      </c>
      <c r="Y99" s="1" t="str">
        <f>_xlfn.XLOOKUP(M99,[1]Master_Customer_Profile!$A$2:$A$11,[1]Master_Customer_Profile!$G$2:$G$11)</f>
        <v>VIP</v>
      </c>
      <c r="Z99" s="1" t="str">
        <f>_xlfn.XLOOKUP(G99,[3]Master_SLA_Shipping!$A$2:$A$7,[3]Master_SLA_Shipping!$B$2:$B$7)</f>
        <v>J&amp;T Express</v>
      </c>
      <c r="AA99" s="1" t="str">
        <f>_xlfn.XLOOKUP(G99,[3]Master_SLA_Shipping!$A$2:$A$7,[3]Master_SLA_Shipping!$C$2:$C$7)</f>
        <v>Regular</v>
      </c>
      <c r="AB99" s="1">
        <f>_xlfn.XLOOKUP(G99,[3]Master_SLA_Shipping!$A$2:$A$7,[3]Master_SLA_Shipping!$D$2:$D$7)</f>
        <v>4</v>
      </c>
      <c r="AC99" s="7">
        <f>_xlfn.XLOOKUP(G99,[3]Master_SLA_Shipping!$A$2:$A$7,[3]Master_SLA_Shipping!$E$2:$E$7)</f>
        <v>10000</v>
      </c>
      <c r="AD99" s="1" t="e">
        <v>#N/A</v>
      </c>
    </row>
    <row r="100" spans="1:30" x14ac:dyDescent="0.25">
      <c r="A100" s="1" t="s">
        <v>220</v>
      </c>
      <c r="B100" s="2">
        <v>45490</v>
      </c>
      <c r="C100" s="1" t="s">
        <v>29</v>
      </c>
      <c r="D100" s="1" t="s">
        <v>177</v>
      </c>
      <c r="E100" s="1">
        <v>2</v>
      </c>
      <c r="F100" s="1" t="s">
        <v>23</v>
      </c>
      <c r="G100" s="1" t="s">
        <v>54</v>
      </c>
      <c r="H100" s="2">
        <v>45493</v>
      </c>
      <c r="I100" s="2">
        <v>45495</v>
      </c>
      <c r="J100" s="1" t="s">
        <v>25</v>
      </c>
      <c r="K100" s="1" t="s">
        <v>18</v>
      </c>
      <c r="L100" s="1" t="s">
        <v>33</v>
      </c>
      <c r="M100" s="1" t="str">
        <f t="shared" si="3"/>
        <v>CUST-005</v>
      </c>
      <c r="N100" s="1" t="str">
        <f>TRIM(PROPER(VLOOKUP(M100,[1]Master_Customer_Profile!$A$2:$B$11,2,0)))</f>
        <v>Hendra Wijaya</v>
      </c>
      <c r="O100" s="4" t="str">
        <f>SUBSTITUTE(SUBSTITUTE(SUBSTITUTE(TRIM(VLOOKUP(M100,[1]Master_Customer_Profile!$A$2:$C$11,3,0)),"+",""),"62","")," ","")</f>
        <v>8189876543</v>
      </c>
      <c r="P100" s="1" t="str">
        <f t="shared" si="4"/>
        <v>PRD-HOME-002</v>
      </c>
      <c r="Q100" s="1" t="str">
        <f t="shared" si="5"/>
        <v>JNT-EXP-TRX-2024-0099-PRD-HOME-002</v>
      </c>
      <c r="R100" s="1" t="str">
        <f>_xlfn.XLOOKUP(P100,[2]Master_Product_Catalog!$A$2:$A$16,[2]Master_Product_Catalog!$B$2:$B$16,"",3,1)</f>
        <v>Air Purifier HEPA Filter H13</v>
      </c>
      <c r="S100" s="1" t="str">
        <f>_xlfn.XLOOKUP(P100,[2]Master_Product_Catalog!$A$2:$A$16,[2]Master_Product_Catalog!$C$2:$C$16,"Nothing")</f>
        <v>Home &amp; Living</v>
      </c>
      <c r="T100" s="1" t="str">
        <f>_xlfn.XLOOKUP(P100,[2]Master_Product_Catalog!$A$2:$A$16,[2]Master_Product_Catalog!$D$2:$D$16,"Nothing")</f>
        <v>Home Appliances</v>
      </c>
      <c r="U100" s="5">
        <f>_xlfn.XLOOKUP(P100,[2]Master_Product_Catalog!$A$2:$A$16,[2]Master_Product_Catalog!$E$2:$E$16,"Nothing")</f>
        <v>1750000</v>
      </c>
      <c r="V100" s="6">
        <f>_xlfn.XLOOKUP(P100,[2]Master_Product_Catalog!$A$2:$A$16,[2]Master_Product_Catalog!$F$2:$F$16,"Nothing")</f>
        <v>1150000</v>
      </c>
      <c r="W100" s="1" t="str">
        <f>_xlfn.XLOOKUP(P100,[2]Master_Product_Catalog!$A$2:$A$16,[2]Master_Product_Catalog!$G$2:$G$16,"Nothing")</f>
        <v>3.2</v>
      </c>
      <c r="X100" s="1" t="str">
        <f>_xlfn.XLOOKUP(M100,[1]Master_Customer_Profile!$A$2:$A$11,[1]Master_Customer_Profile!$D$2:$D$11)</f>
        <v>DKI Jakarta</v>
      </c>
      <c r="Y100" s="1" t="str">
        <f>_xlfn.XLOOKUP(M100,[1]Master_Customer_Profile!$A$2:$A$11,[1]Master_Customer_Profile!$G$2:$G$11)</f>
        <v>Gold</v>
      </c>
      <c r="Z100" s="1" t="str">
        <f>_xlfn.XLOOKUP(G100,[3]Master_SLA_Shipping!$A$2:$A$7,[3]Master_SLA_Shipping!$B$2:$B$7)</f>
        <v>J&amp;T Express</v>
      </c>
      <c r="AA100" s="1" t="str">
        <f>_xlfn.XLOOKUP(G100,[3]Master_SLA_Shipping!$A$2:$A$7,[3]Master_SLA_Shipping!$C$2:$C$7)</f>
        <v>Express</v>
      </c>
      <c r="AB100" s="1">
        <f>_xlfn.XLOOKUP(G100,[3]Master_SLA_Shipping!$A$2:$A$7,[3]Master_SLA_Shipping!$D$2:$D$7)</f>
        <v>2</v>
      </c>
      <c r="AC100" s="7">
        <f>_xlfn.XLOOKUP(G100,[3]Master_SLA_Shipping!$A$2:$A$7,[3]Master_SLA_Shipping!$E$2:$E$7)</f>
        <v>15000</v>
      </c>
      <c r="AD100" s="1" t="e">
        <v>#N/A</v>
      </c>
    </row>
    <row r="101" spans="1:30" x14ac:dyDescent="0.25">
      <c r="A101" s="1" t="s">
        <v>221</v>
      </c>
      <c r="B101" s="2">
        <v>45492</v>
      </c>
      <c r="C101" s="1" t="s">
        <v>113</v>
      </c>
      <c r="D101" s="1" t="s">
        <v>222</v>
      </c>
      <c r="E101" s="1">
        <v>4</v>
      </c>
      <c r="F101" s="1" t="s">
        <v>15</v>
      </c>
      <c r="G101" s="1" t="s">
        <v>16</v>
      </c>
      <c r="H101" s="2">
        <v>45495</v>
      </c>
      <c r="I101" s="2">
        <v>45497</v>
      </c>
      <c r="J101" s="1" t="s">
        <v>17</v>
      </c>
      <c r="K101" s="1" t="s">
        <v>48</v>
      </c>
      <c r="L101" s="1" t="s">
        <v>19</v>
      </c>
      <c r="M101" s="1" t="str">
        <f t="shared" si="3"/>
        <v>CUST-003</v>
      </c>
      <c r="N101" s="1" t="str">
        <f>TRIM(PROPER(VLOOKUP(M101,[1]Master_Customer_Profile!$A$2:$B$11,2,0)))</f>
        <v>Budi Santoso</v>
      </c>
      <c r="O101" s="4" t="str">
        <f>SUBSTITUTE(SUBSTITUTE(SUBSTITUTE(TRIM(VLOOKUP(M101,[1]Master_Customer_Profile!$A$2:$C$11,3,0)),"+",""),"62","")," ","")</f>
        <v>85611223344</v>
      </c>
      <c r="P101" s="1" t="str">
        <f t="shared" si="4"/>
        <v>PRD-ELEC-002</v>
      </c>
      <c r="Q101" s="1" t="str">
        <f t="shared" si="5"/>
        <v>SISEPAT-BEST-TRX-2024-0100-PRD-ELEC-002</v>
      </c>
      <c r="R101" s="1" t="str">
        <f>_xlfn.XLOOKUP(P101,[2]Master_Product_Catalog!$A$2:$A$16,[2]Master_Product_Catalog!$B$2:$B$16,"",3,1)</f>
        <v>Smart Watch Fitness Tracker V2</v>
      </c>
      <c r="S101" s="1" t="str">
        <f>_xlfn.XLOOKUP(P101,[2]Master_Product_Catalog!$A$2:$A$16,[2]Master_Product_Catalog!$C$2:$C$16,"Nothing")</f>
        <v>Electronics</v>
      </c>
      <c r="T101" s="1" t="str">
        <f>_xlfn.XLOOKUP(P101,[2]Master_Product_Catalog!$A$2:$A$16,[2]Master_Product_Catalog!$D$2:$D$16,"Nothing")</f>
        <v>Wearables</v>
      </c>
      <c r="U101" s="5">
        <f>_xlfn.XLOOKUP(P101,[2]Master_Product_Catalog!$A$2:$A$16,[2]Master_Product_Catalog!$E$2:$E$16,"Nothing")</f>
        <v>850000</v>
      </c>
      <c r="V101" s="6">
        <f>_xlfn.XLOOKUP(P101,[2]Master_Product_Catalog!$A$2:$A$16,[2]Master_Product_Catalog!$F$2:$F$16,"Nothing")</f>
        <v>520000</v>
      </c>
      <c r="W101" s="1" t="str">
        <f>_xlfn.XLOOKUP(P101,[2]Master_Product_Catalog!$A$2:$A$16,[2]Master_Product_Catalog!$G$2:$G$16,"Nothing")</f>
        <v>0.3</v>
      </c>
      <c r="X101" s="1" t="str">
        <f>_xlfn.XLOOKUP(M101,[1]Master_Customer_Profile!$A$2:$A$11,[1]Master_Customer_Profile!$D$2:$D$11)</f>
        <v>Jawa Tengah</v>
      </c>
      <c r="Y101" s="1" t="str">
        <f>_xlfn.XLOOKUP(M101,[1]Master_Customer_Profile!$A$2:$A$11,[1]Master_Customer_Profile!$G$2:$G$11)</f>
        <v>Platinum</v>
      </c>
      <c r="Z101" s="1" t="str">
        <f>_xlfn.XLOOKUP(G101,[3]Master_SLA_Shipping!$A$2:$A$7,[3]Master_SLA_Shipping!$B$2:$B$7)</f>
        <v>SiCepat</v>
      </c>
      <c r="AA101" s="1" t="str">
        <f>_xlfn.XLOOKUP(G101,[3]Master_SLA_Shipping!$A$2:$A$7,[3]Master_SLA_Shipping!$C$2:$C$7)</f>
        <v>Express</v>
      </c>
      <c r="AB101" s="1">
        <f>_xlfn.XLOOKUP(G101,[3]Master_SLA_Shipping!$A$2:$A$7,[3]Master_SLA_Shipping!$D$2:$D$7)</f>
        <v>2</v>
      </c>
      <c r="AC101" s="7">
        <f>_xlfn.XLOOKUP(G101,[3]Master_SLA_Shipping!$A$2:$A$7,[3]Master_SLA_Shipping!$E$2:$E$7)</f>
        <v>16000</v>
      </c>
      <c r="AD101" s="1" t="e">
        <v>#N/A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Raw_Transactions_2024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2026-08-21T08:35:00Z</dcterms:created>
  <dcterms:modified xsi:type="dcterms:W3CDTF">2026-09-02T16:49:26Z</dcterms:modified>
</cp:coreProperties>
</file>