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Info" sheetId="1" state="visible" r:id="rId1"/>
    <sheet xmlns:r="http://schemas.openxmlformats.org/officeDocument/2006/relationships" name="Master_Product" sheetId="2" state="visible" r:id="rId2"/>
    <sheet xmlns:r="http://schemas.openxmlformats.org/officeDocument/2006/relationships" name="Master_Tier_Discount" sheetId="3" state="visible" r:id="rId3"/>
    <sheet xmlns:r="http://schemas.openxmlformats.org/officeDocument/2006/relationships" name="Raw_Transactions" sheetId="4" state="visible" r:id="rId4"/>
    <sheet xmlns:r="http://schemas.openxmlformats.org/officeDocument/2006/relationships" name="KPI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p #,##0"/>
    <numFmt numFmtId="165" formatCode="0.0%"/>
    <numFmt numFmtId="166" formatCode="0.0 &quot;Bulan&quot;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1F4E78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F4E78"/>
      <sz val="14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1F4E78"/>
        <bgColor rgb="001F4E78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TECHNICAL ASSESSMENT: JUNIOR DATA ANALYST</t>
        </is>
      </c>
    </row>
    <row r="2">
      <c r="A2" s="2" t="inlineStr">
        <is>
          <t>PT Nusantara Retail Makmur - Omnichannel Analytics Department</t>
        </is>
      </c>
    </row>
    <row r="4">
      <c r="A4" s="3" t="inlineStr">
        <is>
          <t>Tujuan Proyek:</t>
        </is>
      </c>
      <c r="B4" s="4" t="inlineStr">
        <is>
          <t>Menguji kemampuan kandidat dalam data cleaning, data enrichment, business logic, dan agregasi data penjualan menggunakan spreadsheet.</t>
        </is>
      </c>
    </row>
    <row r="6">
      <c r="A6" s="3" t="inlineStr">
        <is>
          <t>Daftar Sheet:</t>
        </is>
      </c>
      <c r="B6" s="4" t="inlineStr">
        <is>
          <t>1. Instructions &amp; Info: Gambaran umum proyek dan petunjuk teknis.
2. Raw_Transactions: Sheet utama pengerjaan formula dari kolom I s/d V.
3. Master_Product: Tabel referensi vertikal (Lookup Produk).
4. Master_Tier_Discount: Tabel referensi horizontal (Lookup Kategori Diskon).
5. KPI_Summary: Dashboard agregasi metrik penjualan eksekutif.</t>
        </is>
      </c>
    </row>
    <row r="7"/>
    <row r="8">
      <c r="A8" s="3" t="inlineStr">
        <is>
          <t>Aturan Pengerjaan:</t>
        </is>
      </c>
      <c r="B8" s="4" t="inlineStr">
        <is>
          <t>- Gunakan formula dinamis untuk setiap kolom kalkulasi (jangan hardcode angka/teks).
- Pastikan seluruh materi teruji digunakan secara tepat.
- Materi yang diuji mencakup: IF, DATEDIF, VLOOKUP/HLOOKUP, REPLACE/SUBSTITUTE, UPPER/LOWER/PROPER, CONCAT, TRIM, AVERAGE, COUNT/COUNTA, SUM, MIN/MAX.</t>
        </is>
      </c>
    </row>
    <row r="9"/>
    <row r="10">
      <c r="A10" s="3" t="inlineStr">
        <is>
          <t>Status Workbook:</t>
        </is>
      </c>
      <c r="B10" s="4" t="inlineStr">
        <is>
          <t>SOLUSI &amp; KUNCI JAWABAN LENGKAP</t>
        </is>
      </c>
    </row>
  </sheetData>
  <mergeCells count="4">
    <mergeCell ref="B6:H7"/>
    <mergeCell ref="B4:H4"/>
    <mergeCell ref="B8:H9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4" customWidth="1" min="4" max="4"/>
  </cols>
  <sheetData>
    <row r="1">
      <c r="A1" s="5" t="inlineStr">
        <is>
          <t>SKU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Unit_Price</t>
        </is>
      </c>
    </row>
    <row r="2">
      <c r="A2" s="6" t="inlineStr">
        <is>
          <t>PRD-101</t>
        </is>
      </c>
      <c r="B2" s="7" t="inlineStr">
        <is>
          <t>Laptop Sleeve 14"</t>
        </is>
      </c>
      <c r="C2" s="7" t="inlineStr">
        <is>
          <t>Accessories</t>
        </is>
      </c>
      <c r="D2" s="8" t="n">
        <v>150000</v>
      </c>
    </row>
    <row r="3">
      <c r="A3" s="6" t="inlineStr">
        <is>
          <t>PRD-102</t>
        </is>
      </c>
      <c r="B3" s="7" t="inlineStr">
        <is>
          <t>Wireless Mouse</t>
        </is>
      </c>
      <c r="C3" s="7" t="inlineStr">
        <is>
          <t>Electronics</t>
        </is>
      </c>
      <c r="D3" s="8" t="n">
        <v>250000</v>
      </c>
    </row>
    <row r="4">
      <c r="A4" s="6" t="inlineStr">
        <is>
          <t>PRD-103</t>
        </is>
      </c>
      <c r="B4" s="7" t="inlineStr">
        <is>
          <t>Mechanical Keyboard</t>
        </is>
      </c>
      <c r="C4" s="7" t="inlineStr">
        <is>
          <t>Electronics</t>
        </is>
      </c>
      <c r="D4" s="8" t="n">
        <v>750000</v>
      </c>
    </row>
    <row r="5">
      <c r="A5" s="6" t="inlineStr">
        <is>
          <t>PRD-104</t>
        </is>
      </c>
      <c r="B5" s="7" t="inlineStr">
        <is>
          <t>USB-C Hub 7-in-1</t>
        </is>
      </c>
      <c r="C5" s="7" t="inlineStr">
        <is>
          <t>Accessories</t>
        </is>
      </c>
      <c r="D5" s="8" t="n">
        <v>320000</v>
      </c>
    </row>
    <row r="6">
      <c r="A6" s="6" t="inlineStr">
        <is>
          <t>PRD-105</t>
        </is>
      </c>
      <c r="B6" s="7" t="inlineStr">
        <is>
          <t>Ergonomic Monitor Stand</t>
        </is>
      </c>
      <c r="C6" s="7" t="inlineStr">
        <is>
          <t>Furniture</t>
        </is>
      </c>
      <c r="D6" s="8" t="n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Category</t>
        </is>
      </c>
      <c r="B1" s="10" t="inlineStr">
        <is>
          <t>Accessories</t>
        </is>
      </c>
      <c r="C1" s="10" t="inlineStr">
        <is>
          <t>Electronics</t>
        </is>
      </c>
      <c r="D1" s="10" t="inlineStr">
        <is>
          <t>Furniture</t>
        </is>
      </c>
      <c r="E1" s="10" t="inlineStr">
        <is>
          <t>Other</t>
        </is>
      </c>
    </row>
    <row r="2">
      <c r="A2" s="9" t="inlineStr">
        <is>
          <t>Base_Discount_Rate</t>
        </is>
      </c>
      <c r="B2" s="11" t="n">
        <v>0.05</v>
      </c>
      <c r="C2" s="11" t="n">
        <v>0.1</v>
      </c>
      <c r="D2" s="11" t="n">
        <v>0.08</v>
      </c>
      <c r="E2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28" customHeight="1">
      <c r="A1" s="12" t="inlineStr">
        <is>
          <t>Trx_ID</t>
        </is>
      </c>
      <c r="B1" s="12" t="inlineStr">
        <is>
          <t>Cust_Name</t>
        </is>
      </c>
      <c r="C1" s="12" t="inlineStr">
        <is>
          <t>Cust_Email</t>
        </is>
      </c>
      <c r="D1" s="12" t="inlineStr">
        <is>
          <t>Join_Date</t>
        </is>
      </c>
      <c r="E1" s="12" t="inlineStr">
        <is>
          <t>Order_Date</t>
        </is>
      </c>
      <c r="F1" s="12" t="inlineStr">
        <is>
          <t>Product_SKU</t>
        </is>
      </c>
      <c r="G1" s="12" t="inlineStr">
        <is>
          <t>Qty</t>
        </is>
      </c>
      <c r="H1" s="12" t="inlineStr">
        <is>
          <t>Voucher_Code</t>
        </is>
      </c>
      <c r="I1" s="13" t="inlineStr">
        <is>
          <t>Clean_Cust_Name
[TRIM+PROPER]</t>
        </is>
      </c>
      <c r="J1" s="13" t="inlineStr">
        <is>
          <t>Clean_Email
[LOWER+TRIM]</t>
        </is>
      </c>
      <c r="K1" s="13" t="inlineStr">
        <is>
          <t>Standard_SKU
[SUBSTITUTE]</t>
        </is>
      </c>
      <c r="L1" s="13" t="inlineStr">
        <is>
          <t>Delivery_Code
[CONCAT]</t>
        </is>
      </c>
      <c r="M1" s="5" t="inlineStr">
        <is>
          <t>Product_Name
[VLOOKUP]</t>
        </is>
      </c>
      <c r="N1" s="5" t="inlineStr">
        <is>
          <t>Category
[VLOOKUP]</t>
        </is>
      </c>
      <c r="O1" s="5" t="inlineStr">
        <is>
          <t>Unit_Price
[VLOOKUP]</t>
        </is>
      </c>
      <c r="P1" s="9" t="inlineStr">
        <is>
          <t>Base_Discount
[HLOOKUP]</t>
        </is>
      </c>
      <c r="Q1" s="14" t="inlineStr">
        <is>
          <t>Tenure_Months
[DATEDIF]</t>
        </is>
      </c>
      <c r="R1" s="14" t="inlineStr">
        <is>
          <t>Final_Discount_Rate
[IF]</t>
        </is>
      </c>
      <c r="S1" s="14" t="inlineStr">
        <is>
          <t>Customer_Segment
[IF Nested]</t>
        </is>
      </c>
      <c r="T1" s="15" t="inlineStr">
        <is>
          <t>Gross_Revenue
[CALC]</t>
        </is>
      </c>
      <c r="U1" s="15" t="inlineStr">
        <is>
          <t>Discount_Amount
[CALC]</t>
        </is>
      </c>
      <c r="V1" s="15" t="inlineStr">
        <is>
          <t>Net_Revenue
[CALC]</t>
        </is>
      </c>
    </row>
    <row r="2">
      <c r="A2" s="6" t="inlineStr">
        <is>
          <t>TRX-001</t>
        </is>
      </c>
      <c r="B2" s="7" t="inlineStr">
        <is>
          <t xml:space="preserve">  budi santoso </t>
        </is>
      </c>
      <c r="C2" s="7" t="inlineStr">
        <is>
          <t>BUDI.S@GMAIL.COM</t>
        </is>
      </c>
      <c r="D2" s="6" t="inlineStr">
        <is>
          <t>2023-01-15</t>
        </is>
      </c>
      <c r="E2" s="6" t="inlineStr">
        <is>
          <t>2024-06-01</t>
        </is>
      </c>
      <c r="F2" s="6" t="inlineStr">
        <is>
          <t>OLD-PRD-101</t>
        </is>
      </c>
      <c r="G2" s="16" t="n">
        <v>2</v>
      </c>
      <c r="H2" s="6" t="inlineStr">
        <is>
          <t>DISC10</t>
        </is>
      </c>
      <c r="I2" s="7">
        <f>PROPER(TRIM(B2))</f>
        <v/>
      </c>
      <c r="J2" s="7">
        <f>LOWER(TRIM(C2))</f>
        <v/>
      </c>
      <c r="K2" s="6">
        <f>SUBSTITUTE(SUBSTITUTE(F2, "OLD-", ""), "NEW-", "")</f>
        <v/>
      </c>
      <c r="L2" s="6">
        <f>CONCAT(A2, CONCAT("-SHP-", K2))</f>
        <v/>
      </c>
      <c r="M2" s="7">
        <f>VLOOKUP(K2, Master_Product!$A$2:$D$6, 2, FALSE)</f>
        <v/>
      </c>
      <c r="N2" s="7">
        <f>VLOOKUP(K2, Master_Product!$A$2:$D$6, 3, FALSE)</f>
        <v/>
      </c>
      <c r="O2" s="8">
        <f>VLOOKUP(K2, Master_Product!$A$2:$D$6, 4, FALSE)</f>
        <v/>
      </c>
      <c r="P2" s="11">
        <f>HLOOKUP(N2, Master_Tier_Discount!$B$1:$E$2, 2, FALSE)</f>
        <v/>
      </c>
      <c r="Q2" s="16">
        <f>DATEDIF(D2, E2, "M")</f>
        <v/>
      </c>
      <c r="R2" s="11">
        <f>IF(H2="DISC10", 0.1, IF(H2="CASHBACK", 0.05, P2))</f>
        <v/>
      </c>
      <c r="S2" s="6">
        <f>IF(Q2&gt;24, "VIP Tier", IF(Q2&gt;=12, "Gold Tier", "Silver Tier"))</f>
        <v/>
      </c>
      <c r="T2" s="8">
        <f>G2*O2</f>
        <v/>
      </c>
      <c r="U2" s="8">
        <f>T2*R2</f>
        <v/>
      </c>
      <c r="V2" s="8">
        <f>T2-U2</f>
        <v/>
      </c>
    </row>
    <row r="3">
      <c r="A3" s="6" t="inlineStr">
        <is>
          <t>TRX-002</t>
        </is>
      </c>
      <c r="B3" s="7" t="inlineStr">
        <is>
          <t xml:space="preserve">SITI AMINAH   </t>
        </is>
      </c>
      <c r="C3" s="7" t="inlineStr">
        <is>
          <t>siti.a@yahoo.com</t>
        </is>
      </c>
      <c r="D3" s="6" t="inlineStr">
        <is>
          <t>2022-05-10</t>
        </is>
      </c>
      <c r="E3" s="6" t="inlineStr">
        <is>
          <t>2024-06-02</t>
        </is>
      </c>
      <c r="F3" s="6" t="inlineStr">
        <is>
          <t>NEW-PRD-102</t>
        </is>
      </c>
      <c r="G3" s="16" t="n">
        <v>1</v>
      </c>
      <c r="H3" s="6" t="inlineStr">
        <is>
          <t>-</t>
        </is>
      </c>
      <c r="I3" s="7">
        <f>PROPER(TRIM(B3))</f>
        <v/>
      </c>
      <c r="J3" s="7">
        <f>LOWER(TRIM(C3))</f>
        <v/>
      </c>
      <c r="K3" s="6">
        <f>SUBSTITUTE(SUBSTITUTE(F3, "OLD-", ""), "NEW-", "")</f>
        <v/>
      </c>
      <c r="L3" s="6">
        <f>CONCAT(A3, CONCAT("-SHP-", K3))</f>
        <v/>
      </c>
      <c r="M3" s="7">
        <f>VLOOKUP(K3, Master_Product!$A$2:$D$6, 2, FALSE)</f>
        <v/>
      </c>
      <c r="N3" s="7">
        <f>VLOOKUP(K3, Master_Product!$A$2:$D$6, 3, FALSE)</f>
        <v/>
      </c>
      <c r="O3" s="8">
        <f>VLOOKUP(K3, Master_Product!$A$2:$D$6, 4, FALSE)</f>
        <v/>
      </c>
      <c r="P3" s="11">
        <f>HLOOKUP(N3, Master_Tier_Discount!$B$1:$E$2, 2, FALSE)</f>
        <v/>
      </c>
      <c r="Q3" s="16">
        <f>DATEDIF(D3, E3, "M")</f>
        <v/>
      </c>
      <c r="R3" s="11">
        <f>IF(H3="DISC10", 0.1, IF(H3="CASHBACK", 0.05, P3))</f>
        <v/>
      </c>
      <c r="S3" s="6">
        <f>IF(Q3&gt;24, "VIP Tier", IF(Q3&gt;=12, "Gold Tier", "Silver Tier"))</f>
        <v/>
      </c>
      <c r="T3" s="8">
        <f>G3*O3</f>
        <v/>
      </c>
      <c r="U3" s="8">
        <f>T3*R3</f>
        <v/>
      </c>
      <c r="V3" s="8">
        <f>T3-U3</f>
        <v/>
      </c>
    </row>
    <row r="4">
      <c r="A4" s="6" t="inlineStr">
        <is>
          <t>TRX-003</t>
        </is>
      </c>
      <c r="B4" s="7" t="inlineStr">
        <is>
          <t xml:space="preserve"> andi wijaya</t>
        </is>
      </c>
      <c r="C4" s="7" t="inlineStr">
        <is>
          <t>ANDI_W@OUTLOOK.COM</t>
        </is>
      </c>
      <c r="D4" s="6" t="inlineStr">
        <is>
          <t>2024-01-01</t>
        </is>
      </c>
      <c r="E4" s="6" t="inlineStr">
        <is>
          <t>2024-06-05</t>
        </is>
      </c>
      <c r="F4" s="6" t="inlineStr">
        <is>
          <t>OLD-PRD-103</t>
        </is>
      </c>
      <c r="G4" s="16" t="n">
        <v>5</v>
      </c>
      <c r="H4" s="6" t="inlineStr">
        <is>
          <t>CASHBACK</t>
        </is>
      </c>
      <c r="I4" s="7">
        <f>PROPER(TRIM(B4))</f>
        <v/>
      </c>
      <c r="J4" s="7">
        <f>LOWER(TRIM(C4))</f>
        <v/>
      </c>
      <c r="K4" s="6">
        <f>SUBSTITUTE(SUBSTITUTE(F4, "OLD-", ""), "NEW-", "")</f>
        <v/>
      </c>
      <c r="L4" s="6">
        <f>CONCAT(A4, CONCAT("-SHP-", K4))</f>
        <v/>
      </c>
      <c r="M4" s="7">
        <f>VLOOKUP(K4, Master_Product!$A$2:$D$6, 2, FALSE)</f>
        <v/>
      </c>
      <c r="N4" s="7">
        <f>VLOOKUP(K4, Master_Product!$A$2:$D$6, 3, FALSE)</f>
        <v/>
      </c>
      <c r="O4" s="8">
        <f>VLOOKUP(K4, Master_Product!$A$2:$D$6, 4, FALSE)</f>
        <v/>
      </c>
      <c r="P4" s="11">
        <f>HLOOKUP(N4, Master_Tier_Discount!$B$1:$E$2, 2, FALSE)</f>
        <v/>
      </c>
      <c r="Q4" s="16">
        <f>DATEDIF(D4, E4, "M")</f>
        <v/>
      </c>
      <c r="R4" s="11">
        <f>IF(H4="DISC10", 0.1, IF(H4="CASHBACK", 0.05, P4))</f>
        <v/>
      </c>
      <c r="S4" s="6">
        <f>IF(Q4&gt;24, "VIP Tier", IF(Q4&gt;=12, "Gold Tier", "Silver Tier"))</f>
        <v/>
      </c>
      <c r="T4" s="8">
        <f>G4*O4</f>
        <v/>
      </c>
      <c r="U4" s="8">
        <f>T4*R4</f>
        <v/>
      </c>
      <c r="V4" s="8">
        <f>T4-U4</f>
        <v/>
      </c>
    </row>
    <row r="5">
      <c r="A5" s="6" t="inlineStr">
        <is>
          <t>TRX-004</t>
        </is>
      </c>
      <c r="B5" s="7" t="inlineStr">
        <is>
          <t>dewi lestari</t>
        </is>
      </c>
      <c r="C5" s="7" t="inlineStr">
        <is>
          <t>dewi.l@gmail.com</t>
        </is>
      </c>
      <c r="D5" s="6" t="inlineStr">
        <is>
          <t>2021-11-20</t>
        </is>
      </c>
      <c r="E5" s="6" t="inlineStr">
        <is>
          <t>2024-06-10</t>
        </is>
      </c>
      <c r="F5" s="6" t="inlineStr">
        <is>
          <t>OLD-PRD-101</t>
        </is>
      </c>
      <c r="G5" s="16" t="n">
        <v>1</v>
      </c>
      <c r="H5" s="6" t="inlineStr">
        <is>
          <t>DISC10</t>
        </is>
      </c>
      <c r="I5" s="7">
        <f>PROPER(TRIM(B5))</f>
        <v/>
      </c>
      <c r="J5" s="7">
        <f>LOWER(TRIM(C5))</f>
        <v/>
      </c>
      <c r="K5" s="6">
        <f>SUBSTITUTE(SUBSTITUTE(F5, "OLD-", ""), "NEW-", "")</f>
        <v/>
      </c>
      <c r="L5" s="6">
        <f>CONCAT(A5, CONCAT("-SHP-", K5))</f>
        <v/>
      </c>
      <c r="M5" s="7">
        <f>VLOOKUP(K5, Master_Product!$A$2:$D$6, 2, FALSE)</f>
        <v/>
      </c>
      <c r="N5" s="7">
        <f>VLOOKUP(K5, Master_Product!$A$2:$D$6, 3, FALSE)</f>
        <v/>
      </c>
      <c r="O5" s="8">
        <f>VLOOKUP(K5, Master_Product!$A$2:$D$6, 4, FALSE)</f>
        <v/>
      </c>
      <c r="P5" s="11">
        <f>HLOOKUP(N5, Master_Tier_Discount!$B$1:$E$2, 2, FALSE)</f>
        <v/>
      </c>
      <c r="Q5" s="16">
        <f>DATEDIF(D5, E5, "M")</f>
        <v/>
      </c>
      <c r="R5" s="11">
        <f>IF(H5="DISC10", 0.1, IF(H5="CASHBACK", 0.05, P5))</f>
        <v/>
      </c>
      <c r="S5" s="6">
        <f>IF(Q5&gt;24, "VIP Tier", IF(Q5&gt;=12, "Gold Tier", "Silver Tier"))</f>
        <v/>
      </c>
      <c r="T5" s="8">
        <f>G5*O5</f>
        <v/>
      </c>
      <c r="U5" s="8">
        <f>T5*R5</f>
        <v/>
      </c>
      <c r="V5" s="8">
        <f>T5-U5</f>
        <v/>
      </c>
    </row>
    <row r="6">
      <c r="A6" s="6" t="inlineStr">
        <is>
          <t>TRX-005</t>
        </is>
      </c>
      <c r="B6" s="7" t="inlineStr">
        <is>
          <t xml:space="preserve">  RUDI HERMAWAN</t>
        </is>
      </c>
      <c r="C6" s="7" t="inlineStr">
        <is>
          <t>rudi.h@corp.id</t>
        </is>
      </c>
      <c r="D6" s="6" t="inlineStr">
        <is>
          <t>2023-08-05</t>
        </is>
      </c>
      <c r="E6" s="6" t="inlineStr">
        <is>
          <t>2024-06-15</t>
        </is>
      </c>
      <c r="F6" s="6" t="inlineStr">
        <is>
          <t>NEW-PRD-104</t>
        </is>
      </c>
      <c r="G6" s="16" t="n">
        <v>3</v>
      </c>
      <c r="H6" s="6" t="inlineStr">
        <is>
          <t>-</t>
        </is>
      </c>
      <c r="I6" s="7">
        <f>PROPER(TRIM(B6))</f>
        <v/>
      </c>
      <c r="J6" s="7">
        <f>LOWER(TRIM(C6))</f>
        <v/>
      </c>
      <c r="K6" s="6">
        <f>SUBSTITUTE(SUBSTITUTE(F6, "OLD-", ""), "NEW-", "")</f>
        <v/>
      </c>
      <c r="L6" s="6">
        <f>CONCAT(A6, CONCAT("-SHP-", K6))</f>
        <v/>
      </c>
      <c r="M6" s="7">
        <f>VLOOKUP(K6, Master_Product!$A$2:$D$6, 2, FALSE)</f>
        <v/>
      </c>
      <c r="N6" s="7">
        <f>VLOOKUP(K6, Master_Product!$A$2:$D$6, 3, FALSE)</f>
        <v/>
      </c>
      <c r="O6" s="8">
        <f>VLOOKUP(K6, Master_Product!$A$2:$D$6, 4, FALSE)</f>
        <v/>
      </c>
      <c r="P6" s="11">
        <f>HLOOKUP(N6, Master_Tier_Discount!$B$1:$E$2, 2, FALSE)</f>
        <v/>
      </c>
      <c r="Q6" s="16">
        <f>DATEDIF(D6, E6, "M")</f>
        <v/>
      </c>
      <c r="R6" s="11">
        <f>IF(H6="DISC10", 0.1, IF(H6="CASHBACK", 0.05, P6))</f>
        <v/>
      </c>
      <c r="S6" s="6">
        <f>IF(Q6&gt;24, "VIP Tier", IF(Q6&gt;=12, "Gold Tier", "Silver Tier"))</f>
        <v/>
      </c>
      <c r="T6" s="8">
        <f>G6*O6</f>
        <v/>
      </c>
      <c r="U6" s="8">
        <f>T6*R6</f>
        <v/>
      </c>
      <c r="V6" s="8">
        <f>T6-U6</f>
        <v/>
      </c>
    </row>
    <row r="7">
      <c r="A7" s="6" t="inlineStr">
        <is>
          <t>TRX-006</t>
        </is>
      </c>
      <c r="B7" s="7" t="inlineStr">
        <is>
          <t xml:space="preserve">ratna sari  </t>
        </is>
      </c>
      <c r="C7" s="7" t="inlineStr">
        <is>
          <t>RATNA.S@GMAIL.COM</t>
        </is>
      </c>
      <c r="D7" s="6" t="inlineStr">
        <is>
          <t>2020-03-12</t>
        </is>
      </c>
      <c r="E7" s="6" t="inlineStr">
        <is>
          <t>2024-06-20</t>
        </is>
      </c>
      <c r="F7" s="6" t="inlineStr">
        <is>
          <t>NEW-PRD-102</t>
        </is>
      </c>
      <c r="G7" s="16" t="n">
        <v>4</v>
      </c>
      <c r="H7" s="6" t="inlineStr">
        <is>
          <t>DISC10</t>
        </is>
      </c>
      <c r="I7" s="7">
        <f>PROPER(TRIM(B7))</f>
        <v/>
      </c>
      <c r="J7" s="7">
        <f>LOWER(TRIM(C7))</f>
        <v/>
      </c>
      <c r="K7" s="6">
        <f>SUBSTITUTE(SUBSTITUTE(F7, "OLD-", ""), "NEW-", "")</f>
        <v/>
      </c>
      <c r="L7" s="6">
        <f>CONCAT(A7, CONCAT("-SHP-", K7))</f>
        <v/>
      </c>
      <c r="M7" s="7">
        <f>VLOOKUP(K7, Master_Product!$A$2:$D$6, 2, FALSE)</f>
        <v/>
      </c>
      <c r="N7" s="7">
        <f>VLOOKUP(K7, Master_Product!$A$2:$D$6, 3, FALSE)</f>
        <v/>
      </c>
      <c r="O7" s="8">
        <f>VLOOKUP(K7, Master_Product!$A$2:$D$6, 4, FALSE)</f>
        <v/>
      </c>
      <c r="P7" s="11">
        <f>HLOOKUP(N7, Master_Tier_Discount!$B$1:$E$2, 2, FALSE)</f>
        <v/>
      </c>
      <c r="Q7" s="16">
        <f>DATEDIF(D7, E7, "M")</f>
        <v/>
      </c>
      <c r="R7" s="11">
        <f>IF(H7="DISC10", 0.1, IF(H7="CASHBACK", 0.05, P7))</f>
        <v/>
      </c>
      <c r="S7" s="6">
        <f>IF(Q7&gt;24, "VIP Tier", IF(Q7&gt;=12, "Gold Tier", "Silver Tier"))</f>
        <v/>
      </c>
      <c r="T7" s="8">
        <f>G7*O7</f>
        <v/>
      </c>
      <c r="U7" s="8">
        <f>T7*R7</f>
        <v/>
      </c>
      <c r="V7" s="8">
        <f>T7-U7</f>
        <v/>
      </c>
    </row>
    <row r="8">
      <c r="A8" s="6" t="inlineStr">
        <is>
          <t>TRX-007</t>
        </is>
      </c>
      <c r="B8" s="7" t="inlineStr">
        <is>
          <t xml:space="preserve">  hendra gunawan </t>
        </is>
      </c>
      <c r="C8" s="7" t="inlineStr">
        <is>
          <t>Hendra.G@gmail.com</t>
        </is>
      </c>
      <c r="D8" s="6" t="inlineStr">
        <is>
          <t>2022-02-14</t>
        </is>
      </c>
      <c r="E8" s="6" t="inlineStr">
        <is>
          <t>2024-06-21</t>
        </is>
      </c>
      <c r="F8" s="6" t="inlineStr">
        <is>
          <t>OLD-PRD-105</t>
        </is>
      </c>
      <c r="G8" s="16" t="n">
        <v>2</v>
      </c>
      <c r="H8" s="6" t="inlineStr">
        <is>
          <t>CASHBACK</t>
        </is>
      </c>
      <c r="I8" s="7">
        <f>PROPER(TRIM(B8))</f>
        <v/>
      </c>
      <c r="J8" s="7">
        <f>LOWER(TRIM(C8))</f>
        <v/>
      </c>
      <c r="K8" s="6">
        <f>SUBSTITUTE(SUBSTITUTE(F8, "OLD-", ""), "NEW-", "")</f>
        <v/>
      </c>
      <c r="L8" s="6">
        <f>CONCAT(A8, CONCAT("-SHP-", K8))</f>
        <v/>
      </c>
      <c r="M8" s="7">
        <f>VLOOKUP(K8, Master_Product!$A$2:$D$6, 2, FALSE)</f>
        <v/>
      </c>
      <c r="N8" s="7">
        <f>VLOOKUP(K8, Master_Product!$A$2:$D$6, 3, FALSE)</f>
        <v/>
      </c>
      <c r="O8" s="8">
        <f>VLOOKUP(K8, Master_Product!$A$2:$D$6, 4, FALSE)</f>
        <v/>
      </c>
      <c r="P8" s="11">
        <f>HLOOKUP(N8, Master_Tier_Discount!$B$1:$E$2, 2, FALSE)</f>
        <v/>
      </c>
      <c r="Q8" s="16">
        <f>DATEDIF(D8, E8, "M")</f>
        <v/>
      </c>
      <c r="R8" s="11">
        <f>IF(H8="DISC10", 0.1, IF(H8="CASHBACK", 0.05, P8))</f>
        <v/>
      </c>
      <c r="S8" s="6">
        <f>IF(Q8&gt;24, "VIP Tier", IF(Q8&gt;=12, "Gold Tier", "Silver Tier"))</f>
        <v/>
      </c>
      <c r="T8" s="8">
        <f>G8*O8</f>
        <v/>
      </c>
      <c r="U8" s="8">
        <f>T8*R8</f>
        <v/>
      </c>
      <c r="V8" s="8">
        <f>T8-U8</f>
        <v/>
      </c>
    </row>
    <row r="9">
      <c r="A9" s="6" t="inlineStr">
        <is>
          <t>TRX-008</t>
        </is>
      </c>
      <c r="B9" s="7" t="inlineStr">
        <is>
          <t>MAYA PUTRI</t>
        </is>
      </c>
      <c r="C9" s="7" t="inlineStr">
        <is>
          <t>maya_p@yahoo.co.id</t>
        </is>
      </c>
      <c r="D9" s="6" t="inlineStr">
        <is>
          <t>2023-11-10</t>
        </is>
      </c>
      <c r="E9" s="6" t="inlineStr">
        <is>
          <t>2024-06-22</t>
        </is>
      </c>
      <c r="F9" s="6" t="inlineStr">
        <is>
          <t>NEW-PRD-101</t>
        </is>
      </c>
      <c r="G9" s="16" t="n">
        <v>1</v>
      </c>
      <c r="H9" s="6" t="inlineStr">
        <is>
          <t>-</t>
        </is>
      </c>
      <c r="I9" s="7">
        <f>PROPER(TRIM(B9))</f>
        <v/>
      </c>
      <c r="J9" s="7">
        <f>LOWER(TRIM(C9))</f>
        <v/>
      </c>
      <c r="K9" s="6">
        <f>SUBSTITUTE(SUBSTITUTE(F9, "OLD-", ""), "NEW-", "")</f>
        <v/>
      </c>
      <c r="L9" s="6">
        <f>CONCAT(A9, CONCAT("-SHP-", K9))</f>
        <v/>
      </c>
      <c r="M9" s="7">
        <f>VLOOKUP(K9, Master_Product!$A$2:$D$6, 2, FALSE)</f>
        <v/>
      </c>
      <c r="N9" s="7">
        <f>VLOOKUP(K9, Master_Product!$A$2:$D$6, 3, FALSE)</f>
        <v/>
      </c>
      <c r="O9" s="8">
        <f>VLOOKUP(K9, Master_Product!$A$2:$D$6, 4, FALSE)</f>
        <v/>
      </c>
      <c r="P9" s="11">
        <f>HLOOKUP(N9, Master_Tier_Discount!$B$1:$E$2, 2, FALSE)</f>
        <v/>
      </c>
      <c r="Q9" s="16">
        <f>DATEDIF(D9, E9, "M")</f>
        <v/>
      </c>
      <c r="R9" s="11">
        <f>IF(H9="DISC10", 0.1, IF(H9="CASHBACK", 0.05, P9))</f>
        <v/>
      </c>
      <c r="S9" s="6">
        <f>IF(Q9&gt;24, "VIP Tier", IF(Q9&gt;=12, "Gold Tier", "Silver Tier"))</f>
        <v/>
      </c>
      <c r="T9" s="8">
        <f>G9*O9</f>
        <v/>
      </c>
      <c r="U9" s="8">
        <f>T9*R9</f>
        <v/>
      </c>
      <c r="V9" s="8">
        <f>T9-U9</f>
        <v/>
      </c>
    </row>
    <row r="10">
      <c r="A10" s="6" t="inlineStr">
        <is>
          <t>TRX-009</t>
        </is>
      </c>
      <c r="B10" s="7" t="inlineStr">
        <is>
          <t xml:space="preserve"> eko prasetyo  </t>
        </is>
      </c>
      <c r="C10" s="7" t="inlineStr">
        <is>
          <t>EKO.P@OUTLOOK.COM</t>
        </is>
      </c>
      <c r="D10" s="6" t="inlineStr">
        <is>
          <t>2021-04-25</t>
        </is>
      </c>
      <c r="E10" s="6" t="inlineStr">
        <is>
          <t>2024-06-23</t>
        </is>
      </c>
      <c r="F10" s="6" t="inlineStr">
        <is>
          <t>OLD-PRD-104</t>
        </is>
      </c>
      <c r="G10" s="16" t="n">
        <v>2</v>
      </c>
      <c r="H10" s="6" t="inlineStr">
        <is>
          <t>DISC10</t>
        </is>
      </c>
      <c r="I10" s="7">
        <f>PROPER(TRIM(B10))</f>
        <v/>
      </c>
      <c r="J10" s="7">
        <f>LOWER(TRIM(C10))</f>
        <v/>
      </c>
      <c r="K10" s="6">
        <f>SUBSTITUTE(SUBSTITUTE(F10, "OLD-", ""), "NEW-", "")</f>
        <v/>
      </c>
      <c r="L10" s="6">
        <f>CONCAT(A10, CONCAT("-SHP-", K10))</f>
        <v/>
      </c>
      <c r="M10" s="7">
        <f>VLOOKUP(K10, Master_Product!$A$2:$D$6, 2, FALSE)</f>
        <v/>
      </c>
      <c r="N10" s="7">
        <f>VLOOKUP(K10, Master_Product!$A$2:$D$6, 3, FALSE)</f>
        <v/>
      </c>
      <c r="O10" s="8">
        <f>VLOOKUP(K10, Master_Product!$A$2:$D$6, 4, FALSE)</f>
        <v/>
      </c>
      <c r="P10" s="11">
        <f>HLOOKUP(N10, Master_Tier_Discount!$B$1:$E$2, 2, FALSE)</f>
        <v/>
      </c>
      <c r="Q10" s="16">
        <f>DATEDIF(D10, E10, "M")</f>
        <v/>
      </c>
      <c r="R10" s="11">
        <f>IF(H10="DISC10", 0.1, IF(H10="CASHBACK", 0.05, P10))</f>
        <v/>
      </c>
      <c r="S10" s="6">
        <f>IF(Q10&gt;24, "VIP Tier", IF(Q10&gt;=12, "Gold Tier", "Silver Tier"))</f>
        <v/>
      </c>
      <c r="T10" s="8">
        <f>G10*O10</f>
        <v/>
      </c>
      <c r="U10" s="8">
        <f>T10*R10</f>
        <v/>
      </c>
      <c r="V10" s="8">
        <f>T10-U10</f>
        <v/>
      </c>
    </row>
    <row r="11">
      <c r="A11" s="6" t="inlineStr">
        <is>
          <t>TRX-010</t>
        </is>
      </c>
      <c r="B11" s="7" t="inlineStr">
        <is>
          <t>linda kusuma</t>
        </is>
      </c>
      <c r="C11" s="7" t="inlineStr">
        <is>
          <t>linda.k@gmail.com</t>
        </is>
      </c>
      <c r="D11" s="6" t="inlineStr">
        <is>
          <t>2024-03-01</t>
        </is>
      </c>
      <c r="E11" s="6" t="inlineStr">
        <is>
          <t>2024-06-25</t>
        </is>
      </c>
      <c r="F11" s="6" t="inlineStr">
        <is>
          <t>NEW-PRD-103</t>
        </is>
      </c>
      <c r="G11" s="16" t="n">
        <v>1</v>
      </c>
      <c r="H11" s="6" t="inlineStr">
        <is>
          <t>-</t>
        </is>
      </c>
      <c r="I11" s="7">
        <f>PROPER(TRIM(B11))</f>
        <v/>
      </c>
      <c r="J11" s="7">
        <f>LOWER(TRIM(C11))</f>
        <v/>
      </c>
      <c r="K11" s="6">
        <f>SUBSTITUTE(SUBSTITUTE(F11, "OLD-", ""), "NEW-", "")</f>
        <v/>
      </c>
      <c r="L11" s="6">
        <f>CONCAT(A11, CONCAT("-SHP-", K11))</f>
        <v/>
      </c>
      <c r="M11" s="7">
        <f>VLOOKUP(K11, Master_Product!$A$2:$D$6, 2, FALSE)</f>
        <v/>
      </c>
      <c r="N11" s="7">
        <f>VLOOKUP(K11, Master_Product!$A$2:$D$6, 3, FALSE)</f>
        <v/>
      </c>
      <c r="O11" s="8">
        <f>VLOOKUP(K11, Master_Product!$A$2:$D$6, 4, FALSE)</f>
        <v/>
      </c>
      <c r="P11" s="11">
        <f>HLOOKUP(N11, Master_Tier_Discount!$B$1:$E$2, 2, FALSE)</f>
        <v/>
      </c>
      <c r="Q11" s="16">
        <f>DATEDIF(D11, E11, "M")</f>
        <v/>
      </c>
      <c r="R11" s="11">
        <f>IF(H11="DISC10", 0.1, IF(H11="CASHBACK", 0.05, P11))</f>
        <v/>
      </c>
      <c r="S11" s="6">
        <f>IF(Q11&gt;24, "VIP Tier", IF(Q11&gt;=12, "Gold Tier", "Silver Tier"))</f>
        <v/>
      </c>
      <c r="T11" s="8">
        <f>G11*O11</f>
        <v/>
      </c>
      <c r="U11" s="8">
        <f>T11*R11</f>
        <v/>
      </c>
      <c r="V11" s="8">
        <f>T11-U11</f>
        <v/>
      </c>
    </row>
    <row r="12">
      <c r="A12" s="6" t="inlineStr">
        <is>
          <t>TRX-011</t>
        </is>
      </c>
      <c r="B12" s="7" t="inlineStr">
        <is>
          <t xml:space="preserve">  FAJAR SIDIK </t>
        </is>
      </c>
      <c r="C12" s="7" t="inlineStr">
        <is>
          <t>FAJAR_S@GMAIL.COM</t>
        </is>
      </c>
      <c r="D12" s="6" t="inlineStr">
        <is>
          <t>2022-09-18</t>
        </is>
      </c>
      <c r="E12" s="6" t="inlineStr">
        <is>
          <t>2024-06-26</t>
        </is>
      </c>
      <c r="F12" s="6" t="inlineStr">
        <is>
          <t>OLD-PRD-102</t>
        </is>
      </c>
      <c r="G12" s="16" t="n">
        <v>3</v>
      </c>
      <c r="H12" s="6" t="inlineStr">
        <is>
          <t>CASHBACK</t>
        </is>
      </c>
      <c r="I12" s="7">
        <f>PROPER(TRIM(B12))</f>
        <v/>
      </c>
      <c r="J12" s="7">
        <f>LOWER(TRIM(C12))</f>
        <v/>
      </c>
      <c r="K12" s="6">
        <f>SUBSTITUTE(SUBSTITUTE(F12, "OLD-", ""), "NEW-", "")</f>
        <v/>
      </c>
      <c r="L12" s="6">
        <f>CONCAT(A12, CONCAT("-SHP-", K12))</f>
        <v/>
      </c>
      <c r="M12" s="7">
        <f>VLOOKUP(K12, Master_Product!$A$2:$D$6, 2, FALSE)</f>
        <v/>
      </c>
      <c r="N12" s="7">
        <f>VLOOKUP(K12, Master_Product!$A$2:$D$6, 3, FALSE)</f>
        <v/>
      </c>
      <c r="O12" s="8">
        <f>VLOOKUP(K12, Master_Product!$A$2:$D$6, 4, FALSE)</f>
        <v/>
      </c>
      <c r="P12" s="11">
        <f>HLOOKUP(N12, Master_Tier_Discount!$B$1:$E$2, 2, FALSE)</f>
        <v/>
      </c>
      <c r="Q12" s="16">
        <f>DATEDIF(D12, E12, "M")</f>
        <v/>
      </c>
      <c r="R12" s="11">
        <f>IF(H12="DISC10", 0.1, IF(H12="CASHBACK", 0.05, P12))</f>
        <v/>
      </c>
      <c r="S12" s="6">
        <f>IF(Q12&gt;24, "VIP Tier", IF(Q12&gt;=12, "Gold Tier", "Silver Tier"))</f>
        <v/>
      </c>
      <c r="T12" s="8">
        <f>G12*O12</f>
        <v/>
      </c>
      <c r="U12" s="8">
        <f>T12*R12</f>
        <v/>
      </c>
      <c r="V12" s="8">
        <f>T12-U12</f>
        <v/>
      </c>
    </row>
    <row r="13">
      <c r="A13" s="6" t="inlineStr">
        <is>
          <t>TRX-012</t>
        </is>
      </c>
      <c r="B13" s="7" t="inlineStr">
        <is>
          <t>anisa rahmawati</t>
        </is>
      </c>
      <c r="C13" s="7" t="inlineStr">
        <is>
          <t>anisa.r@corp.co.id</t>
        </is>
      </c>
      <c r="D13" s="6" t="inlineStr">
        <is>
          <t>2020-07-07</t>
        </is>
      </c>
      <c r="E13" s="6" t="inlineStr">
        <is>
          <t>2024-06-27</t>
        </is>
      </c>
      <c r="F13" s="6" t="inlineStr">
        <is>
          <t>NEW-PRD-105</t>
        </is>
      </c>
      <c r="G13" s="16" t="n">
        <v>1</v>
      </c>
      <c r="H13" s="6" t="inlineStr">
        <is>
          <t>DISC10</t>
        </is>
      </c>
      <c r="I13" s="7">
        <f>PROPER(TRIM(B13))</f>
        <v/>
      </c>
      <c r="J13" s="7">
        <f>LOWER(TRIM(C13))</f>
        <v/>
      </c>
      <c r="K13" s="6">
        <f>SUBSTITUTE(SUBSTITUTE(F13, "OLD-", ""), "NEW-", "")</f>
        <v/>
      </c>
      <c r="L13" s="6">
        <f>CONCAT(A13, CONCAT("-SHP-", K13))</f>
        <v/>
      </c>
      <c r="M13" s="7">
        <f>VLOOKUP(K13, Master_Product!$A$2:$D$6, 2, FALSE)</f>
        <v/>
      </c>
      <c r="N13" s="7">
        <f>VLOOKUP(K13, Master_Product!$A$2:$D$6, 3, FALSE)</f>
        <v/>
      </c>
      <c r="O13" s="8">
        <f>VLOOKUP(K13, Master_Product!$A$2:$D$6, 4, FALSE)</f>
        <v/>
      </c>
      <c r="P13" s="11">
        <f>HLOOKUP(N13, Master_Tier_Discount!$B$1:$E$2, 2, FALSE)</f>
        <v/>
      </c>
      <c r="Q13" s="16">
        <f>DATEDIF(D13, E13, "M")</f>
        <v/>
      </c>
      <c r="R13" s="11">
        <f>IF(H13="DISC10", 0.1, IF(H13="CASHBACK", 0.05, P13))</f>
        <v/>
      </c>
      <c r="S13" s="6">
        <f>IF(Q13&gt;24, "VIP Tier", IF(Q13&gt;=12, "Gold Tier", "Silver Tier"))</f>
        <v/>
      </c>
      <c r="T13" s="8">
        <f>G13*O13</f>
        <v/>
      </c>
      <c r="U13" s="8">
        <f>T13*R13</f>
        <v/>
      </c>
      <c r="V13" s="8">
        <f>T13-U13</f>
        <v/>
      </c>
    </row>
    <row r="14">
      <c r="A14" s="6" t="inlineStr">
        <is>
          <t>TRX-013</t>
        </is>
      </c>
      <c r="B14" s="7" t="inlineStr">
        <is>
          <t xml:space="preserve"> rizki pratama </t>
        </is>
      </c>
      <c r="C14" s="7" t="inlineStr">
        <is>
          <t>RIZKI.P@YAHOO.COM</t>
        </is>
      </c>
      <c r="D14" s="6" t="inlineStr">
        <is>
          <t>2023-04-12</t>
        </is>
      </c>
      <c r="E14" s="6" t="inlineStr">
        <is>
          <t>2024-06-28</t>
        </is>
      </c>
      <c r="F14" s="6" t="inlineStr">
        <is>
          <t>OLD-PRD-101</t>
        </is>
      </c>
      <c r="G14" s="16" t="n">
        <v>2</v>
      </c>
      <c r="H14" s="6" t="inlineStr">
        <is>
          <t>-</t>
        </is>
      </c>
      <c r="I14" s="7">
        <f>PROPER(TRIM(B14))</f>
        <v/>
      </c>
      <c r="J14" s="7">
        <f>LOWER(TRIM(C14))</f>
        <v/>
      </c>
      <c r="K14" s="6">
        <f>SUBSTITUTE(SUBSTITUTE(F14, "OLD-", ""), "NEW-", "")</f>
        <v/>
      </c>
      <c r="L14" s="6">
        <f>CONCAT(A14, CONCAT("-SHP-", K14))</f>
        <v/>
      </c>
      <c r="M14" s="7">
        <f>VLOOKUP(K14, Master_Product!$A$2:$D$6, 2, FALSE)</f>
        <v/>
      </c>
      <c r="N14" s="7">
        <f>VLOOKUP(K14, Master_Product!$A$2:$D$6, 3, FALSE)</f>
        <v/>
      </c>
      <c r="O14" s="8">
        <f>VLOOKUP(K14, Master_Product!$A$2:$D$6, 4, FALSE)</f>
        <v/>
      </c>
      <c r="P14" s="11">
        <f>HLOOKUP(N14, Master_Tier_Discount!$B$1:$E$2, 2, FALSE)</f>
        <v/>
      </c>
      <c r="Q14" s="16">
        <f>DATEDIF(D14, E14, "M")</f>
        <v/>
      </c>
      <c r="R14" s="11">
        <f>IF(H14="DISC10", 0.1, IF(H14="CASHBACK", 0.05, P14))</f>
        <v/>
      </c>
      <c r="S14" s="6">
        <f>IF(Q14&gt;24, "VIP Tier", IF(Q14&gt;=12, "Gold Tier", "Silver Tier"))</f>
        <v/>
      </c>
      <c r="T14" s="8">
        <f>G14*O14</f>
        <v/>
      </c>
      <c r="U14" s="8">
        <f>T14*R14</f>
        <v/>
      </c>
      <c r="V14" s="8">
        <f>T14-U14</f>
        <v/>
      </c>
    </row>
    <row r="15">
      <c r="A15" s="6" t="inlineStr">
        <is>
          <t>TRX-014</t>
        </is>
      </c>
      <c r="B15" s="7" t="inlineStr">
        <is>
          <t xml:space="preserve">DIAN SASTRO </t>
        </is>
      </c>
      <c r="C15" s="7" t="inlineStr">
        <is>
          <t>dian.s@gmail.com</t>
        </is>
      </c>
      <c r="D15" s="6" t="inlineStr">
        <is>
          <t>2021-12-30</t>
        </is>
      </c>
      <c r="E15" s="6" t="inlineStr">
        <is>
          <t>2024-06-29</t>
        </is>
      </c>
      <c r="F15" s="6" t="inlineStr">
        <is>
          <t>NEW-PRD-104</t>
        </is>
      </c>
      <c r="G15" s="16" t="n">
        <v>4</v>
      </c>
      <c r="H15" s="6" t="inlineStr">
        <is>
          <t>DISC10</t>
        </is>
      </c>
      <c r="I15" s="7">
        <f>PROPER(TRIM(B15))</f>
        <v/>
      </c>
      <c r="J15" s="7">
        <f>LOWER(TRIM(C15))</f>
        <v/>
      </c>
      <c r="K15" s="6">
        <f>SUBSTITUTE(SUBSTITUTE(F15, "OLD-", ""), "NEW-", "")</f>
        <v/>
      </c>
      <c r="L15" s="6">
        <f>CONCAT(A15, CONCAT("-SHP-", K15))</f>
        <v/>
      </c>
      <c r="M15" s="7">
        <f>VLOOKUP(K15, Master_Product!$A$2:$D$6, 2, FALSE)</f>
        <v/>
      </c>
      <c r="N15" s="7">
        <f>VLOOKUP(K15, Master_Product!$A$2:$D$6, 3, FALSE)</f>
        <v/>
      </c>
      <c r="O15" s="8">
        <f>VLOOKUP(K15, Master_Product!$A$2:$D$6, 4, FALSE)</f>
        <v/>
      </c>
      <c r="P15" s="11">
        <f>HLOOKUP(N15, Master_Tier_Discount!$B$1:$E$2, 2, FALSE)</f>
        <v/>
      </c>
      <c r="Q15" s="16">
        <f>DATEDIF(D15, E15, "M")</f>
        <v/>
      </c>
      <c r="R15" s="11">
        <f>IF(H15="DISC10", 0.1, IF(H15="CASHBACK", 0.05, P15))</f>
        <v/>
      </c>
      <c r="S15" s="6">
        <f>IF(Q15&gt;24, "VIP Tier", IF(Q15&gt;=12, "Gold Tier", "Silver Tier"))</f>
        <v/>
      </c>
      <c r="T15" s="8">
        <f>G15*O15</f>
        <v/>
      </c>
      <c r="U15" s="8">
        <f>T15*R15</f>
        <v/>
      </c>
      <c r="V15" s="8">
        <f>T15-U15</f>
        <v/>
      </c>
    </row>
    <row r="16">
      <c r="A16" s="6" t="inlineStr">
        <is>
          <t>TRX-015</t>
        </is>
      </c>
      <c r="B16" s="7" t="inlineStr">
        <is>
          <t xml:space="preserve">  bambang pamungkas</t>
        </is>
      </c>
      <c r="C16" s="7" t="inlineStr">
        <is>
          <t>BAMBANG.P@OUTLOOK.COM</t>
        </is>
      </c>
      <c r="D16" s="6" t="inlineStr">
        <is>
          <t>2019-10-15</t>
        </is>
      </c>
      <c r="E16" s="6" t="inlineStr">
        <is>
          <t>2024-06-30</t>
        </is>
      </c>
      <c r="F16" s="6" t="inlineStr">
        <is>
          <t>OLD-PRD-103</t>
        </is>
      </c>
      <c r="G16" s="16" t="n">
        <v>2</v>
      </c>
      <c r="H16" s="6" t="inlineStr">
        <is>
          <t>CASHBACK</t>
        </is>
      </c>
      <c r="I16" s="7">
        <f>PROPER(TRIM(B16))</f>
        <v/>
      </c>
      <c r="J16" s="7">
        <f>LOWER(TRIM(C16))</f>
        <v/>
      </c>
      <c r="K16" s="6">
        <f>SUBSTITUTE(SUBSTITUTE(F16, "OLD-", ""), "NEW-", "")</f>
        <v/>
      </c>
      <c r="L16" s="6">
        <f>CONCAT(A16, CONCAT("-SHP-", K16))</f>
        <v/>
      </c>
      <c r="M16" s="7">
        <f>VLOOKUP(K16, Master_Product!$A$2:$D$6, 2, FALSE)</f>
        <v/>
      </c>
      <c r="N16" s="7">
        <f>VLOOKUP(K16, Master_Product!$A$2:$D$6, 3, FALSE)</f>
        <v/>
      </c>
      <c r="O16" s="8">
        <f>VLOOKUP(K16, Master_Product!$A$2:$D$6, 4, FALSE)</f>
        <v/>
      </c>
      <c r="P16" s="11">
        <f>HLOOKUP(N16, Master_Tier_Discount!$B$1:$E$2, 2, FALSE)</f>
        <v/>
      </c>
      <c r="Q16" s="16">
        <f>DATEDIF(D16, E16, "M")</f>
        <v/>
      </c>
      <c r="R16" s="11">
        <f>IF(H16="DISC10", 0.1, IF(H16="CASHBACK", 0.05, P16))</f>
        <v/>
      </c>
      <c r="S16" s="6">
        <f>IF(Q16&gt;24, "VIP Tier", IF(Q16&gt;=12, "Gold Tier", "Silver Tier"))</f>
        <v/>
      </c>
      <c r="T16" s="8">
        <f>G16*O16</f>
        <v/>
      </c>
      <c r="U16" s="8">
        <f>T16*R16</f>
        <v/>
      </c>
      <c r="V16" s="8">
        <f>T16-U16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2" customWidth="1" min="3" max="3"/>
  </cols>
  <sheetData>
    <row r="1">
      <c r="A1" s="17" t="inlineStr">
        <is>
          <t>EXECUTIVE KPI SUMMARY DASHBOARD</t>
        </is>
      </c>
    </row>
    <row r="3">
      <c r="A3" s="12" t="inlineStr">
        <is>
          <t>Metric Name</t>
        </is>
      </c>
      <c r="B3" s="12" t="inlineStr">
        <is>
          <t>Metric Value / Calculation</t>
        </is>
      </c>
      <c r="C3" s="12" t="inlineStr">
        <is>
          <t>Function Tested</t>
        </is>
      </c>
    </row>
    <row r="4">
      <c r="A4" s="18" t="inlineStr">
        <is>
          <t>Total Gross Revenue</t>
        </is>
      </c>
      <c r="B4" s="8">
        <f>SUM(Raw_Transactions!T2:T16)</f>
        <v/>
      </c>
      <c r="C4" s="6" t="inlineStr">
        <is>
          <t>SUM</t>
        </is>
      </c>
    </row>
    <row r="5">
      <c r="A5" s="18" t="inlineStr">
        <is>
          <t>Total Net Revenue</t>
        </is>
      </c>
      <c r="B5" s="8">
        <f>SUM(Raw_Transactions!V2:V16)</f>
        <v/>
      </c>
      <c r="C5" s="6" t="inlineStr">
        <is>
          <t>SUM</t>
        </is>
      </c>
    </row>
    <row r="6">
      <c r="A6" s="18" t="inlineStr">
        <is>
          <t>Total Discount Given</t>
        </is>
      </c>
      <c r="B6" s="8">
        <f>SUM(Raw_Transactions!U2:U16)</f>
        <v/>
      </c>
      <c r="C6" s="6" t="inlineStr">
        <is>
          <t>SUM</t>
        </is>
      </c>
    </row>
    <row r="7">
      <c r="A7" s="18" t="inlineStr">
        <is>
          <t>Total Successful Orders</t>
        </is>
      </c>
      <c r="B7" s="19">
        <f>COUNTA(Raw_Transactions!A2:A16)</f>
        <v/>
      </c>
      <c r="C7" s="6" t="inlineStr">
        <is>
          <t>COUNTA / COUNT</t>
        </is>
      </c>
    </row>
    <row r="8">
      <c r="A8" s="18" t="inlineStr">
        <is>
          <t>Total Quantity Sold</t>
        </is>
      </c>
      <c r="B8" s="19">
        <f>SUM(Raw_Transactions!G2:G16)</f>
        <v/>
      </c>
      <c r="C8" s="6" t="inlineStr">
        <is>
          <t>SUM</t>
        </is>
      </c>
    </row>
    <row r="9">
      <c r="A9" s="18" t="inlineStr">
        <is>
          <t>Average Order Value (AOV Gross)</t>
        </is>
      </c>
      <c r="B9" s="8">
        <f>AVERAGE(Raw_Transactions!T2:T16)</f>
        <v/>
      </c>
      <c r="C9" s="6" t="inlineStr">
        <is>
          <t>AVERAGE</t>
        </is>
      </c>
    </row>
    <row r="10">
      <c r="A10" s="18" t="inlineStr">
        <is>
          <t>Average Order Value (AOV Net)</t>
        </is>
      </c>
      <c r="B10" s="8">
        <f>AVERAGE(Raw_Transactions!V2:V16)</f>
        <v/>
      </c>
      <c r="C10" s="6" t="inlineStr">
        <is>
          <t>AVERAGE</t>
        </is>
      </c>
    </row>
    <row r="11">
      <c r="A11" s="18" t="inlineStr">
        <is>
          <t>Highest Single Transaction (Gross)</t>
        </is>
      </c>
      <c r="B11" s="8">
        <f>MAX(Raw_Transactions!T2:T16)</f>
        <v/>
      </c>
      <c r="C11" s="6" t="inlineStr">
        <is>
          <t>MAX</t>
        </is>
      </c>
    </row>
    <row r="12">
      <c r="A12" s="18" t="inlineStr">
        <is>
          <t>Lowest Single Transaction (Gross)</t>
        </is>
      </c>
      <c r="B12" s="8">
        <f>MIN(Raw_Transactions!T2:T16)</f>
        <v/>
      </c>
      <c r="C12" s="6" t="inlineStr">
        <is>
          <t>MIN</t>
        </is>
      </c>
    </row>
    <row r="13">
      <c r="A13" s="18" t="inlineStr">
        <is>
          <t>Average Customer Tenure (Months)</t>
        </is>
      </c>
      <c r="B13" s="20">
        <f>AVERAGE(Raw_Transactions!Q2:Q16)</f>
        <v/>
      </c>
      <c r="C13" s="6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2026-08-18T13:06:36Z</dcterms:created>
  <dcterms:modified xmlns:dcterms="http://purl.org/dc/terms/" xmlns:xsi="http://www.w3.org/2001/XMLSchema-instance" xsi:type="dcterms:W3CDTF">2026-08-18T13:06:36Z</dcterms:modified>
</cp:coreProperties>
</file>